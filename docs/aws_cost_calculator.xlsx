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w To" sheetId="1" state="visible" r:id="rId3"/>
    <sheet name="Summary" sheetId="2" state="visible" r:id="rId4"/>
    <sheet name="Sensors" sheetId="3" state="visible" r:id="rId5"/>
    <sheet name="Inputs" sheetId="4" state="visible" r:id="rId6"/>
    <sheet name="Prices" sheetId="5" state="visible" r:id="rId7"/>
    <sheet name="Calculation" sheetId="6" state="visible" r:id="rId8"/>
    <sheet name="Data Plan" sheetId="7" state="visible" r:id="rId9"/>
  </sheets>
  <definedNames>
    <definedName function="false" hidden="false" name="ack_down_b" vbProcedure="false">Calculation!$C$17</definedName>
    <definedName function="false" hidden="false" name="ack_up_b" vbProcedure="false">Calculation!$C$18</definedName>
    <definedName function="false" hidden="false" name="active_devices" vbProcedure="false">Calculation!$C$8</definedName>
    <definedName function="false" hidden="false" name="active_resp_b" vbProcedure="false">Inputs!$C$49</definedName>
    <definedName function="false" hidden="false" name="active_sensors" vbProcedure="false">Calculation!$C$7</definedName>
    <definedName function="false" hidden="false" name="api_athena" vbProcedure="false">Calculation!$C$45</definedName>
    <definedName function="false" hidden="false" name="api_mem_mb" vbProcedure="false">Inputs!$C$51</definedName>
    <definedName function="false" hidden="false" name="api_ms" vbProcedure="false">Inputs!$C$52</definedName>
    <definedName function="false" hidden="false" name="api_out_gb" vbProcedure="false">Calculation!$C$49</definedName>
    <definedName function="false" hidden="false" name="api_per_load" vbProcedure="false">Inputs!$C$42</definedName>
    <definedName function="false" hidden="false" name="api_per_test" vbProcedure="false">Inputs!$C$43</definedName>
    <definedName function="false" hidden="false" name="api_requests" vbProcedure="false">Calculation!$C$46</definedName>
    <definedName function="false" hidden="false" name="api_simple" vbProcedure="false">Calculation!$C$44</definedName>
    <definedName function="false" hidden="false" name="athena_min_mb" vbProcedure="false">Inputs!$C$41</definedName>
    <definedName function="false" hidden="false" name="athena_ms" vbProcedure="false">Inputs!$C$53</definedName>
    <definedName function="false" hidden="false" name="athena_queries" vbProcedure="false">Calculation!$C$61</definedName>
    <definedName function="false" hidden="false" name="athena_tb" vbProcedure="false">Calculation!$C$62</definedName>
    <definedName function="false" hidden="false" name="cf_gb" vbProcedure="false">Calculation!$C$53</definedName>
    <definedName function="false" hidden="false" name="cf_requests" vbProcedure="false">Calculation!$C$52</definedName>
    <definedName function="false" hidden="false" name="cost_site_month" vbProcedure="false">Calculation!$H$98</definedName>
    <definedName function="false" hidden="false" name="data_base_b" vbProcedure="false">Inputs!$C$33</definedName>
    <definedName function="false" hidden="false" name="data_msgs_day" vbProcedure="false">Calculation!$C$11</definedName>
    <definedName function="false" hidden="false" name="data_payload_b" vbProcedure="false">Calculation!$C$9</definedName>
    <definedName function="false" hidden="false" name="data_rec_b" vbProcedure="false">Calculation!$C$27</definedName>
    <definedName function="false" hidden="false" name="data_up_b" vbProcedure="false">Calculation!$C$15</definedName>
    <definedName function="false" hidden="false" name="days_month" vbProcedure="false">Inputs!$C$12</definedName>
    <definedName function="false" hidden="false" name="ddb_reads" vbProcedure="false">Calculation!$C$50</definedName>
    <definedName function="false" hidden="false" name="ddb_writes" vbProcedure="false">Calculation!$C$51</definedName>
    <definedName function="false" hidden="false" name="ddb_writes_test" vbProcedure="false">Inputs!$C$44</definedName>
    <definedName function="false" hidden="false" name="device_over_b" vbProcedure="false">Inputs!$C$35</definedName>
    <definedName function="false" hidden="false" name="dp_currency" vbProcedure="false">'Data Plan'!$C$32</definedName>
    <definedName function="false" hidden="false" name="dp_deploys" vbProcedure="false">'Data Plan'!$C$15</definedName>
    <definedName function="false" hidden="false" name="dp_deploy_mb" vbProcedure="false">'Data Plan'!$C$16</definedName>
    <definedName function="false" hidden="false" name="dp_dns_ntp_mb" vbProcedure="false">'Data Plan'!$C$13</definedName>
    <definedName function="false" hidden="false" name="dp_gateway_mb" vbProcedure="false">'Data Plan'!$C$7</definedName>
    <definedName function="false" hidden="false" name="dp_margin" vbProcedure="false">'Data Plan'!$C$19</definedName>
    <definedName function="false" hidden="false" name="dp_os_mb" vbProcedure="false">'Data Plan'!$C$17</definedName>
    <definedName function="false" hidden="false" name="dp_plan" vbProcedure="false">'Data Plan'!$C$43</definedName>
    <definedName function="false" hidden="false" name="dp_plan_mb" vbProcedure="false">'Data Plan'!$C$44</definedName>
    <definedName function="false" hidden="false" name="dp_plan_price" vbProcedure="false">'Data Plan'!$C$45</definedName>
    <definedName function="false" hidden="false" name="dp_plan_price_all" vbProcedure="false">'Data Plan'!$C$46</definedName>
    <definedName function="false" hidden="false" name="dp_reconnects" vbProcedure="false">'Data Plan'!$C$10</definedName>
    <definedName function="false" hidden="false" name="dp_reconnect_kb" vbProcedure="false">'Data Plan'!$C$11</definedName>
    <definedName function="false" hidden="false" name="dp_reconnect_mb" vbProcedure="false">'Data Plan'!$C$22</definedName>
    <definedName function="false" hidden="false" name="dp_required_all_gb" vbProcedure="false">'Data Plan'!$C$29</definedName>
    <definedName function="false" hidden="false" name="dp_required_day_mb" vbProcedure="false">'Data Plan'!$C$28</definedName>
    <definedName function="false" hidden="false" name="dp_required_mb" vbProcedure="false">'Data Plan'!$C$27</definedName>
    <definedName function="false" hidden="false" name="dp_retrans_mb" vbProcedure="false">'Data Plan'!$C$23</definedName>
    <definedName function="false" hidden="false" name="dp_retrans_pct" vbProcedure="false">'Data Plan'!$C$12</definedName>
    <definedName function="false" hidden="false" name="dp_rounding_mb" vbProcedure="false">'Data Plan'!$C$25</definedName>
    <definedName function="false" hidden="false" name="dp_session_min_kb" vbProcedure="false">'Data Plan'!$C$18</definedName>
    <definedName function="false" hidden="false" name="dp_ssh_mb" vbProcedure="false">'Data Plan'!$C$14</definedName>
    <definedName function="false" hidden="false" name="dp_subtotal_mb" vbProcedure="false">'Data Plan'!$C$26</definedName>
    <definedName function="false" hidden="false" name="dp_updates_mb" vbProcedure="false">'Data Plan'!$C$24</definedName>
    <definedName function="false" hidden="false" name="exports" vbProcedure="false">Inputs!$C$21</definedName>
    <definedName function="false" hidden="false" name="fh_buffer_s" vbProcedure="false">Inputs!$C$40</definedName>
    <definedName function="false" hidden="false" name="fh_gb_month" vbProcedure="false">Calculation!$C$32</definedName>
    <definedName function="false" hidden="false" name="fh_puts_month" vbProcedure="false">Calculation!$C$35</definedName>
    <definedName function="false" hidden="false" name="free_flag" vbProcedure="false">Inputs!$F$30</definedName>
    <definedName function="false" hidden="false" name="free_tier" vbProcedure="false">Inputs!$C$30</definedName>
    <definedName function="false" hidden="false" name="glue_per_query" vbProcedure="false">Inputs!$C$58</definedName>
    <definedName function="false" hidden="false" name="glue_requests" vbProcedure="false">Calculation!$C$65</definedName>
    <definedName function="false" hidden="false" name="history_days" vbProcedure="false">Inputs!$C$20</definedName>
    <definedName function="false" hidden="false" name="history_month" vbProcedure="false">Calculation!$C$42</definedName>
    <definedName function="false" hidden="false" name="history_q" vbProcedure="false">Inputs!$C$19</definedName>
    <definedName function="false" hidden="false" name="history_resp_kb" vbProcedure="false">Inputs!$C$50</definedName>
    <definedName function="false" hidden="false" name="hours_open" vbProcedure="false">Inputs!$C$16</definedName>
    <definedName function="false" hidden="false" name="iot_added_b" vbProcedure="false">Inputs!$C$37</definedName>
    <definedName function="false" hidden="false" name="iot_billed_month" vbProcedure="false">Calculation!$C$24</definedName>
    <definedName function="false" hidden="false" name="lambda_gbs" vbProcedure="false">Calculation!$C$48</definedName>
    <definedName function="false" hidden="false" name="lambda_inv" vbProcedure="false">Calculation!$C$47</definedName>
    <definedName function="false" hidden="false" name="latest_puts_month" vbProcedure="false">Calculation!$C$36</definedName>
    <definedName function="false" hidden="false" name="live_base_b" vbProcedure="false">Inputs!$C$47</definedName>
    <definedName function="false" hidden="false" name="live_polls" vbProcedure="false">Calculation!$C$40</definedName>
    <definedName function="false" hidden="false" name="live_poll_s" vbProcedure="false">Inputs!$C$17</definedName>
    <definedName function="false" hidden="false" name="live_sensor_b" vbProcedure="false">Inputs!$C$48</definedName>
    <definedName function="false" hidden="false" name="logs_gb" vbProcedure="false">Calculation!$C$66</definedName>
    <definedName function="false" hidden="false" name="logs_store_gb" vbProcedure="false">Calculation!$C$67</definedName>
    <definedName function="false" hidden="false" name="log_kb" vbProcedure="false">Inputs!$C$57</definedName>
    <definedName function="false" hidden="false" name="months_kept" vbProcedure="false">Inputs!$C$29</definedName>
    <definedName function="false" hidden="false" name="msgs_month" vbProcedure="false">Calculation!$C$23</definedName>
    <definedName function="false" hidden="false" name="objs_day_data" vbProcedure="false">Calculation!$C$33</definedName>
    <definedName function="false" hidden="false" name="objs_day_sys" vbProcedure="false">Calculation!$C$34</definedName>
    <definedName function="false" hidden="false" name="page_loads" vbProcedure="false">Inputs!$C$18</definedName>
    <definedName function="false" hidden="false" name="page_loads_month" vbProcedure="false">Calculation!$C$41</definedName>
    <definedName function="false" hidden="false" name="payload_day_mb" vbProcedure="false">Calculation!$C$19</definedName>
    <definedName function="false" hidden="false" name="payload_month_mb" vbProcedure="false">Calculation!$C$21</definedName>
    <definedName function="false" hidden="false" name="poll_s" vbProcedure="false">Inputs!$C$7</definedName>
    <definedName function="false" hidden="false" name="p_apigw" vbProcedure="false">Prices!$C$17</definedName>
    <definedName function="false" hidden="false" name="p_apigw_free" vbProcedure="false">Prices!$E$17</definedName>
    <definedName function="false" hidden="false" name="p_athena" vbProcedure="false">Prices!$C$13</definedName>
    <definedName function="false" hidden="false" name="p_athena_free" vbProcedure="false">Prices!$E$13</definedName>
    <definedName function="false" hidden="false" name="p_cf_gb" vbProcedure="false">Prices!$C$22</definedName>
    <definedName function="false" hidden="false" name="p_cf_gb_free" vbProcedure="false">Prices!$E$22</definedName>
    <definedName function="false" hidden="false" name="p_cf_req" vbProcedure="false">Prices!$C$21</definedName>
    <definedName function="false" hidden="false" name="p_cf_req_free" vbProcedure="false">Prices!$E$21</definedName>
    <definedName function="false" hidden="false" name="p_cw_gb" vbProcedure="false">Prices!$C$25</definedName>
    <definedName function="false" hidden="false" name="p_cw_gb_free" vbProcedure="false">Prices!$E$25</definedName>
    <definedName function="false" hidden="false" name="p_cw_in" vbProcedure="false">Prices!$C$24</definedName>
    <definedName function="false" hidden="false" name="p_cw_in_free" vbProcedure="false">Prices!$E$24</definedName>
    <definedName function="false" hidden="false" name="p_ddb_gb" vbProcedure="false">Prices!$C$20</definedName>
    <definedName function="false" hidden="false" name="p_ddb_gb_free" vbProcedure="false">Prices!$E$20</definedName>
    <definedName function="false" hidden="false" name="p_ddb_r" vbProcedure="false">Prices!$C$18</definedName>
    <definedName function="false" hidden="false" name="p_ddb_r_free" vbProcedure="false">Prices!$E$18</definedName>
    <definedName function="false" hidden="false" name="p_ddb_w" vbProcedure="false">Prices!$C$19</definedName>
    <definedName function="false" hidden="false" name="p_ddb_w_free" vbProcedure="false">Prices!$E$19</definedName>
    <definedName function="false" hidden="false" name="p_dto" vbProcedure="false">Prices!$C$23</definedName>
    <definedName function="false" hidden="false" name="p_dto_free" vbProcedure="false">Prices!$E$23</definedName>
    <definedName function="false" hidden="false" name="p_eb" vbProcedure="false">Prices!$C$26</definedName>
    <definedName function="false" hidden="false" name="p_eb_free" vbProcedure="false">Prices!$E$26</definedName>
    <definedName function="false" hidden="false" name="p_fh" vbProcedure="false">Prices!$C$9</definedName>
    <definedName function="false" hidden="false" name="p_fh_free" vbProcedure="false">Prices!$E$9</definedName>
    <definedName function="false" hidden="false" name="p_free" vbProcedure="false">Prices!$C$27</definedName>
    <definedName function="false" hidden="false" name="p_free_free" vbProcedure="false">Prices!$E$27</definedName>
    <definedName function="false" hidden="false" name="p_glue" vbProcedure="false">Prices!$C$14</definedName>
    <definedName function="false" hidden="false" name="p_glue_free" vbProcedure="false">Prices!$E$14</definedName>
    <definedName function="false" hidden="false" name="p_iot_action" vbProcedure="false">Prices!$C$8</definedName>
    <definedName function="false" hidden="false" name="p_iot_action_free" vbProcedure="false">Prices!$E$8</definedName>
    <definedName function="false" hidden="false" name="p_iot_conn" vbProcedure="false">Prices!$C$5</definedName>
    <definedName function="false" hidden="false" name="p_iot_conn_free" vbProcedure="false">Prices!$E$5</definedName>
    <definedName function="false" hidden="false" name="p_iot_msg" vbProcedure="false">Prices!$C$6</definedName>
    <definedName function="false" hidden="false" name="p_iot_msg_free" vbProcedure="false">Prices!$E$6</definedName>
    <definedName function="false" hidden="false" name="p_iot_rule" vbProcedure="false">Prices!$C$7</definedName>
    <definedName function="false" hidden="false" name="p_iot_rule_free" vbProcedure="false">Prices!$E$7</definedName>
    <definedName function="false" hidden="false" name="p_lambda_gbs" vbProcedure="false">Prices!$C$16</definedName>
    <definedName function="false" hidden="false" name="p_lambda_gbs_free" vbProcedure="false">Prices!$E$16</definedName>
    <definedName function="false" hidden="false" name="p_lambda_req" vbProcedure="false">Prices!$C$15</definedName>
    <definedName function="false" hidden="false" name="p_lambda_req_free" vbProcedure="false">Prices!$E$15</definedName>
    <definedName function="false" hidden="false" name="p_s3_gb" vbProcedure="false">Prices!$C$10</definedName>
    <definedName function="false" hidden="false" name="p_s3_gb_free" vbProcedure="false">Prices!$E$10</definedName>
    <definedName function="false" hidden="false" name="p_s3_get" vbProcedure="false">Prices!$C$12</definedName>
    <definedName function="false" hidden="false" name="p_s3_get_free" vbProcedure="false">Prices!$E$12</definedName>
    <definedName function="false" hidden="false" name="p_s3_put" vbProcedure="false">Prices!$C$11</definedName>
    <definedName function="false" hidden="false" name="p_s3_put_free" vbProcedure="false">Prices!$E$11</definedName>
    <definedName function="false" hidden="false" name="q_hist_b" vbProcedure="false">Calculation!$C$57</definedName>
    <definedName function="false" hidden="false" name="q_test_b" vbProcedure="false">Calculation!$C$59</definedName>
    <definedName function="false" hidden="false" name="q_week_b" vbProcedure="false">Calculation!$C$60</definedName>
    <definedName function="false" hidden="false" name="raw_day_data" vbProcedure="false">Calculation!$C$29</definedName>
    <definedName function="false" hidden="false" name="raw_day_sys" vbProcedure="false">Calculation!$C$30</definedName>
    <definedName function="false" hidden="false" name="raw_gb_month" vbProcedure="false">Calculation!$C$31</definedName>
    <definedName function="false" hidden="false" name="reports_month" vbProcedure="false">Calculation!$C$43</definedName>
    <definedName function="false" hidden="false" name="report_mb" vbProcedure="false">Inputs!$C$56</definedName>
    <definedName function="false" hidden="false" name="report_mem_mb" vbProcedure="false">Inputs!$C$54</definedName>
    <definedName function="false" hidden="false" name="report_s" vbProcedure="false">Inputs!$C$55</definedName>
    <definedName function="false" hidden="false" name="s3_get_athena" vbProcedure="false">Calculation!$C$63</definedName>
    <definedName function="false" hidden="false" name="s3_get_dash" vbProcedure="false">Calculation!$C$54</definedName>
    <definedName function="false" hidden="false" name="s3_put_other" vbProcedure="false">Calculation!$C$64</definedName>
    <definedName function="false" hidden="false" name="s3_store_gb" vbProcedure="false">Calculation!$C$37</definedName>
    <definedName function="false" hidden="false" name="sensor_over_b" vbProcedure="false">Inputs!$C$34</definedName>
    <definedName function="false" hidden="false" name="sites" vbProcedure="false">Inputs!$C$11</definedName>
    <definedName function="false" hidden="false" name="sys_msgs_day" vbProcedure="false">Calculation!$C$12</definedName>
    <definedName function="false" hidden="false" name="sys_payload" vbProcedure="false">Calculation!$C$10</definedName>
    <definedName function="false" hidden="false" name="sys_payload_b" vbProcedure="false">Inputs!$C$36</definedName>
    <definedName function="false" hidden="false" name="sys_rec_b" vbProcedure="false">Calculation!$C$28</definedName>
    <definedName function="false" hidden="false" name="sys_s" vbProcedure="false">Inputs!$C$8</definedName>
    <definedName function="false" hidden="false" name="sys_up_b" vbProcedure="false">Calculation!$C$16</definedName>
    <definedName function="false" hidden="false" name="tcpip_b" vbProcedure="false">Inputs!$C$39</definedName>
    <definedName function="false" hidden="false" name="tests_month" vbProcedure="false">Inputs!$C$24</definedName>
    <definedName function="false" hidden="false" name="test_days" vbProcedure="false">Calculation!$C$58</definedName>
    <definedName function="false" hidden="false" name="test_hours" vbProcedure="false">Inputs!$C$25</definedName>
    <definedName function="false" hidden="false" name="tls_b" vbProcedure="false">Inputs!$C$38</definedName>
    <definedName function="false" hidden="false" name="topic_data" vbProcedure="false">Inputs!$C$9</definedName>
    <definedName function="false" hidden="false" name="topic_sys" vbProcedure="false">Inputs!$C$10</definedName>
    <definedName function="false" hidden="false" name="viewers" vbProcedure="false">Inputs!$C$15</definedName>
    <definedName function="false" hidden="false" name="web_files" vbProcedure="false">Inputs!$C$45</definedName>
    <definedName function="false" hidden="false" name="web_kb" vbProcedure="false">Inputs!$C$46</definedName>
    <definedName function="false" hidden="false" name="weekly_reports" vbProcedure="false">Inputs!$C$26</definedName>
    <definedName function="false" hidden="false" name="wire_day_mb" vbProcedure="false">Calculation!$C$20</definedName>
    <definedName function="false" hidden="false" name="wire_month_mb" vbProcedure="false">Calculation!$C$22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<sst xmlns="http://schemas.openxmlformats.org/spreadsheetml/2006/main" count="845" uniqueCount="650">
  <si>
    <t xml:space="preserve">How to use this calculator</t>
  </si>
  <si>
    <t xml:space="preserve">Only edit BLUE cells (yellow fill = the main settings). Black cells are formulas, green cells pull values from another sheet. Click a link in column C to jump to the cell.</t>
  </si>
  <si>
    <t xml:space="preserve">1. Add a sensor</t>
  </si>
  <si>
    <t xml:space="preserve">Go to the Sensors sheet and find the first empty row (rows 6–205).</t>
  </si>
  <si>
    <t xml:space="preserve">Type the Device ID exactly as in Akvo_Green config.json → devices[].id (for example DEV_16). Upper/lower case and length matter: the name is sent in every message.</t>
  </si>
  <si>
    <t xml:space="preserve">Type the Sensor name exactly as in config.json → devices[].sensors[].name (for example FlowSensor).</t>
  </si>
  <si>
    <t xml:space="preserve">Type 1 in Active. Columns E and F fill in by themselves.</t>
  </si>
  <si>
    <t xml:space="preserve">Several sensors on the same device: repeat the same Device ID on each row; the device is only counted once.</t>
  </si>
  <si>
    <t xml:space="preserve">Check the result: Summary → Active sensors, Data message size, Monthly cost per site.</t>
  </si>
  <si>
    <t xml:space="preserve">2. Remove or pause a sensor</t>
  </si>
  <si>
    <t xml:space="preserve">Set Active to 0 to leave the sensor out but keep the row (useful for what-if comparisons), or delete the Device ID and Sensor name.</t>
  </si>
  <si>
    <t xml:space="preserve">Do not delete whole rows or columns: the formulas expect the list in rows 6–205.</t>
  </si>
  <si>
    <t xml:space="preserve">3. Change the sampling frequency</t>
  </si>
  <si>
    <t xml:space="preserve">Sensor data interval: seconds between data messages (gateway.poll_interval in config.json). One message carries ALL sensors.</t>
  </si>
  <si>
    <t xml:space="preserve">System data interval: seconds between CPU/RAM/disk messages (gateway.system_interval).</t>
  </si>
  <si>
    <t xml:space="preserve">Example: 20 → 10 s doubles the data messages, IoT messages, rule actions and S3 writes; 20 → 60 s cuts them to a third.</t>
  </si>
  <si>
    <t xml:space="preserve">Keep the dashboard poll in line: if the data interval is longer than the live poll, the dashboard polls for data that is not there yet.</t>
  </si>
  <si>
    <t xml:space="preserve">4. Model several sites (several Pis)</t>
  </si>
  <si>
    <t xml:space="preserve">Set Number of sites. Every site is its own stack (bucket, API, dashboard) and its own SIM, so AWS cost and data plan are multiplied.</t>
  </si>
  <si>
    <t xml:space="preserve">The Sensors sheet describes ONE site. If the sites have very different sensors, make a copy of the file per site.</t>
  </si>
  <si>
    <t xml:space="preserve">5. Describe how the dashboard is used</t>
  </si>
  <si>
    <t xml:space="preserve">Dashboards open at the same time and Hours per day open drive API Gateway and Lambda (each open dashboard polls every 10 s).</t>
  </si>
  <si>
    <t xml:space="preserve">A control-room screen open all day: Hours per day open = 24.</t>
  </si>
  <si>
    <t xml:space="preserve">History / alarm queries per day and their average range in days drive Athena and S3 GET cost.</t>
  </si>
  <si>
    <t xml:space="preserve">Tests per month and their duration drive report generation.</t>
  </si>
  <si>
    <t xml:space="preserve">6. Update AWS prices</t>
  </si>
  <si>
    <t xml:space="preserve">Open the Prices sheet and compare each blue price with the AWS page in the Source column (region us-east-1).</t>
  </si>
  <si>
    <t xml:space="preserve">Type the new price over the old one; keep the same unit as the 'Per' column (e.g. price per million requests, not per request).</t>
  </si>
  <si>
    <t xml:space="preserve">Optional: Apply AWS always-free tier = Yes subtracts the always-free allowances. They are per AWS account, so with several sites leave it on No for a safe estimate.</t>
  </si>
  <si>
    <t xml:space="preserve">7. Size the Pi's cellular data plan</t>
  </si>
  <si>
    <t xml:space="preserve">Open the Data Plan sheet. Gateway traffic is taken from your sensors and intervals automatically.</t>
  </si>
  <si>
    <t xml:space="preserve">OS updates: 0 if automatic updates are disabled on the Pi; about 300 MB/month if they stay on.</t>
  </si>
  <si>
    <t xml:space="preserve">MQTT reconnects per day: raise it if the cellular signal is weak (check the gateway log for 'Connecting MQTT').</t>
  </si>
  <si>
    <t xml:space="preserve">Carrier minimum per session: ask the carrier whether data sessions are rounded up (M2M/IoT SIMs sometimes are). 0 = billed by actual usage.</t>
  </si>
  <si>
    <t xml:space="preserve">Enter the carrier's plans in MB from smallest to largest, with their monthly price. The recommended plan is the smallest one that fits.</t>
  </si>
  <si>
    <t xml:space="preserve">Read the result: Data needed per Pi and Recommended plan per Pi.</t>
  </si>
  <si>
    <t xml:space="preserve">8. Check the estimate against reality</t>
  </si>
  <si>
    <t xml:space="preserve">Data used by the Pi: on the Pi run   sudo apt install vnstat   and after a few days   vnstat -m   (or read /sys/class/net/&lt;interface&gt;/statistics/rx_bytes and tx_bytes). Compare with Data needed per Pi before the margin (Subtotal).</t>
  </si>
  <si>
    <t xml:space="preserve">Messages really sent: AWS console → IoT Core → Monitor, or CloudWatch metric AWS/IoT PublishIn.Success. Compare with Calculation → MQTT messages per month.</t>
  </si>
  <si>
    <t xml:space="preserve">Real AWS cost: AWS console → Billing → Cost Explorer, group by Service, last full month. Compare service by service with the table on the Summary sheet.</t>
  </si>
  <si>
    <t xml:space="preserve">If something differs a lot, adjust the matching grey technical constant on the Inputs sheet (for example API Lambda duration or log volume).</t>
  </si>
  <si>
    <t xml:space="preserve">9. Read the results</t>
  </si>
  <si>
    <t xml:space="preserve">Summary → Monthly cost per site (yellow) is the main figure; the table and chart show which services cost the most.</t>
  </si>
  <si>
    <t xml:space="preserve">Calculation shows every intermediate quantity with how it is calculated, and the full cost table (usage → free allowance → billable → price → cost).</t>
  </si>
  <si>
    <t xml:space="preserve">Storage figures are for the month after 'Months of history kept', because raw data in S3 and Lambda logs are never deleted.</t>
  </si>
  <si>
    <t xml:space="preserve">10. Rebuild the file from scratch</t>
  </si>
  <si>
    <t xml:space="preserve">The workbook is generated by tools/build_cost_calculator.py in the VenkoDemo repo:   python3 tools/build_cost_calculator.py docs/aws_cost_calculator.xlsx</t>
  </si>
  <si>
    <t xml:space="preserve">Rebuilding overwrites every change made in the file (sensors, inputs, prices). Change the defaults in the script if you want them to survive a rebuild.</t>
  </si>
  <si>
    <t xml:space="preserve">Open the rebuilt file in Excel or LibreOffice once and save it, so the calculated values are stored.</t>
  </si>
  <si>
    <t xml:space="preserve">VenkoDemo / Akvo_Green — AWS cost calculator</t>
  </si>
  <si>
    <t xml:space="preserve">How to use: edit sensors on 'Sensors' (Active 1/0), intervals and usage on 'Inputs' (yellow cells), unit prices on 'Prices'. Size the Pi's cellular plan on 'Data Plan'. Everything else recalculates. Region us-east-1, prices to be verified before quoting.</t>
  </si>
  <si>
    <t xml:space="preserve">Key inputs</t>
  </si>
  <si>
    <t xml:space="preserve">Active sensors</t>
  </si>
  <si>
    <t xml:space="preserve">From the Sensors sheet</t>
  </si>
  <si>
    <t xml:space="preserve">Sensor data interval (s)</t>
  </si>
  <si>
    <t xml:space="preserve">Inputs</t>
  </si>
  <si>
    <t xml:space="preserve">System data interval (s)</t>
  </si>
  <si>
    <t xml:space="preserve">Sites</t>
  </si>
  <si>
    <t xml:space="preserve">Data volume per site</t>
  </si>
  <si>
    <t xml:space="preserve">Data message size (bytes)</t>
  </si>
  <si>
    <t xml:space="preserve">JSON payload with all active sensors</t>
  </si>
  <si>
    <t xml:space="preserve">MQTT messages per month</t>
  </si>
  <si>
    <t xml:space="preserve">Data + system</t>
  </si>
  <si>
    <t xml:space="preserve">Payload per month (MB)</t>
  </si>
  <si>
    <t xml:space="preserve">JSON only</t>
  </si>
  <si>
    <t xml:space="preserve">Network traffic per month (MB)</t>
  </si>
  <si>
    <t xml:space="preserve">Gateway MQTT only, incl. MQTT/TLS/TCP overhead and acks</t>
  </si>
  <si>
    <t xml:space="preserve">New S3 raw data per month (GB)</t>
  </si>
  <si>
    <t xml:space="preserve">Cellular data plan per Pi</t>
  </si>
  <si>
    <t xml:space="preserve">Data needed per Pi (MB/month)</t>
  </si>
  <si>
    <t xml:space="preserve">Data Plan sheet: gateway + other Pi traffic + margin</t>
  </si>
  <si>
    <t xml:space="preserve">Recommended plan</t>
  </si>
  <si>
    <t xml:space="preserve">Smallest plan on the Data Plan sheet that covers it</t>
  </si>
  <si>
    <t xml:space="preserve">Cost</t>
  </si>
  <si>
    <t xml:space="preserve">Monthly cost per site</t>
  </si>
  <si>
    <t xml:space="preserve">Calculation sheet, at the 'months kept' storage horizon</t>
  </si>
  <si>
    <t xml:space="preserve">Monthly cost, all sites</t>
  </si>
  <si>
    <t xml:space="preserve">Yearly cost, all sites</t>
  </si>
  <si>
    <t xml:space="preserve">Storage grows each month; this uses the horizon month ×12 (upper bound)</t>
  </si>
  <si>
    <t xml:space="preserve">Cost per active sensor per month</t>
  </si>
  <si>
    <t xml:space="preserve">Includes the fixed per-site costs spread over the sensors</t>
  </si>
  <si>
    <t xml:space="preserve">Monthly cost per site by service</t>
  </si>
  <si>
    <t xml:space="preserve">Service</t>
  </si>
  <si>
    <t xml:space="preserve">USD / month</t>
  </si>
  <si>
    <t xml:space="preserve">Share</t>
  </si>
  <si>
    <t xml:space="preserve">IoT Core</t>
  </si>
  <si>
    <t xml:space="preserve">Data Firehose</t>
  </si>
  <si>
    <t xml:space="preserve">S3</t>
  </si>
  <si>
    <t xml:space="preserve">Athena</t>
  </si>
  <si>
    <t xml:space="preserve">Glue</t>
  </si>
  <si>
    <t xml:space="preserve">Lambda</t>
  </si>
  <si>
    <t xml:space="preserve">API Gateway</t>
  </si>
  <si>
    <t xml:space="preserve">DynamoDB</t>
  </si>
  <si>
    <t xml:space="preserve">CloudFront</t>
  </si>
  <si>
    <t xml:space="preserve">Data transfer</t>
  </si>
  <si>
    <t xml:space="preserve">CloudWatch Logs</t>
  </si>
  <si>
    <t xml:space="preserve">EventBridge</t>
  </si>
  <si>
    <t xml:space="preserve">IAM / API keys / usage plan</t>
  </si>
  <si>
    <t xml:space="preserve">Total</t>
  </si>
  <si>
    <t xml:space="preserve">Sensor list (one row per sensor published by the Akvo_Green gateway)</t>
  </si>
  <si>
    <t xml:space="preserve">Edit the blue cells: Device ID and Sensor name exactly as in Akvo_Green config.json, Active = 1 to include, 0 to exclude. Add sensors in the empty rows below (up to row 205). Pre-filled from Akvo_Green/config_data/config.json (15 sensors).</t>
  </si>
  <si>
    <t xml:space="preserve">Name lengths matter: every reading repeats the device and sensor name in the MQTT JSON payload.</t>
  </si>
  <si>
    <t xml:space="preserve">#</t>
  </si>
  <si>
    <t xml:space="preserve">Device ID</t>
  </si>
  <si>
    <t xml:space="preserve">Sensor name</t>
  </si>
  <si>
    <t xml:space="preserve">Active (1/0)</t>
  </si>
  <si>
    <t xml:space="preserve">Bytes per reading</t>
  </si>
  <si>
    <t xml:space="preserve">Device bytes (first sensor of device)</t>
  </si>
  <si>
    <t xml:space="preserve">DEV_1</t>
  </si>
  <si>
    <t xml:space="preserve">Pt100Sensor</t>
  </si>
  <si>
    <t xml:space="preserve">DEV_2</t>
  </si>
  <si>
    <t xml:space="preserve">Ambient</t>
  </si>
  <si>
    <t xml:space="preserve">DEV_3</t>
  </si>
  <si>
    <t xml:space="preserve">Humedad</t>
  </si>
  <si>
    <t xml:space="preserve">DEV_4</t>
  </si>
  <si>
    <t xml:space="preserve">ORPSensor</t>
  </si>
  <si>
    <t xml:space="preserve">DEV_5</t>
  </si>
  <si>
    <t xml:space="preserve">PhSensor</t>
  </si>
  <si>
    <t xml:space="preserve">DEV_6</t>
  </si>
  <si>
    <t xml:space="preserve">TempPhSensor</t>
  </si>
  <si>
    <t xml:space="preserve">DEV_7</t>
  </si>
  <si>
    <t xml:space="preserve">DOSensor</t>
  </si>
  <si>
    <t xml:space="preserve">DEV_8</t>
  </si>
  <si>
    <t xml:space="preserve">CODSensor</t>
  </si>
  <si>
    <t xml:space="preserve">DEV_9</t>
  </si>
  <si>
    <t xml:space="preserve">TempCODSensor</t>
  </si>
  <si>
    <t xml:space="preserve">DEV_10</t>
  </si>
  <si>
    <t xml:space="preserve">TurbCODSensort</t>
  </si>
  <si>
    <t xml:space="preserve">DEV_11</t>
  </si>
  <si>
    <t xml:space="preserve">BODSensor</t>
  </si>
  <si>
    <t xml:space="preserve">DEV_12</t>
  </si>
  <si>
    <t xml:space="preserve">TOCSensor</t>
  </si>
  <si>
    <t xml:space="preserve">DEV_13</t>
  </si>
  <si>
    <t xml:space="preserve">CondSensor</t>
  </si>
  <si>
    <t xml:space="preserve">DEV_14</t>
  </si>
  <si>
    <t xml:space="preserve">TempCondSensor</t>
  </si>
  <si>
    <t xml:space="preserve">DEV_15</t>
  </si>
  <si>
    <t xml:space="preserve">TDSCondSensor</t>
  </si>
  <si>
    <t xml:space="preserve">Inputs and assumptions (per site)</t>
  </si>
  <si>
    <t xml:space="preserve">Blue = value you can change · yellow fill = main levers · grey section = technical constants derived from the code (change only if the code changes).</t>
  </si>
  <si>
    <t xml:space="preserve">Parameter</t>
  </si>
  <si>
    <t xml:space="preserve">Name</t>
  </si>
  <si>
    <t xml:space="preserve">Value</t>
  </si>
  <si>
    <t xml:space="preserve">Unit</t>
  </si>
  <si>
    <t xml:space="preserve">Source / note</t>
  </si>
  <si>
    <t xml:space="preserve">Gateway (Akvo_Green config.json → gateway section)</t>
  </si>
  <si>
    <t xml:space="preserve">Sensor data interval</t>
  </si>
  <si>
    <t xml:space="preserve">poll_s</t>
  </si>
  <si>
    <t xml:space="preserve">seconds</t>
  </si>
  <si>
    <t xml:space="preserve">gateway.poll_interval — one data message with ALL sensors per interval</t>
  </si>
  <si>
    <t xml:space="preserve">System data interval</t>
  </si>
  <si>
    <t xml:space="preserve">sys_s</t>
  </si>
  <si>
    <t xml:space="preserve">gateway.system_interval — CPU/RAM/disk/IP/OS message</t>
  </si>
  <si>
    <t xml:space="preserve">Data topic</t>
  </si>
  <si>
    <t xml:space="preserve">topic_data</t>
  </si>
  <si>
    <t xml:space="preserve">AKVO/data</t>
  </si>
  <si>
    <t xml:space="preserve">text</t>
  </si>
  <si>
    <t xml:space="preserve">aws.topic_pub (stack DataTopic). Its length is part of every MQTT packet</t>
  </si>
  <si>
    <t xml:space="preserve">System topic</t>
  </si>
  <si>
    <t xml:space="preserve">topic_sys</t>
  </si>
  <si>
    <t xml:space="preserve">AKVO/system</t>
  </si>
  <si>
    <t xml:space="preserve">aws.topic_system (stack SystemTopic)</t>
  </si>
  <si>
    <t xml:space="preserve">Number of sites (Pi + stack + dashboard)</t>
  </si>
  <si>
    <t xml:space="preserve">sites</t>
  </si>
  <si>
    <t xml:space="preserve">Each site is a full separate stack; the total is multiplied by this</t>
  </si>
  <si>
    <t xml:space="preserve">Days per month</t>
  </si>
  <si>
    <t xml:space="preserve">days_month</t>
  </si>
  <si>
    <t xml:space="preserve">days</t>
  </si>
  <si>
    <t xml:space="preserve">Average month</t>
  </si>
  <si>
    <t xml:space="preserve">Dashboard usage</t>
  </si>
  <si>
    <t xml:space="preserve">Dashboards open at the same time (average)</t>
  </si>
  <si>
    <t xml:space="preserve">viewers</t>
  </si>
  <si>
    <t xml:space="preserve">browsers</t>
  </si>
  <si>
    <t xml:space="preserve">Each open dashboard polls /live + /tests/active</t>
  </si>
  <si>
    <t xml:space="preserve">Hours per day a dashboard is open</t>
  </si>
  <si>
    <t xml:space="preserve">hours_open</t>
  </si>
  <si>
    <t xml:space="preserve">hours/day</t>
  </si>
  <si>
    <t xml:space="preserve">Left open 24 h on a control-room screen = 24</t>
  </si>
  <si>
    <t xml:space="preserve">Live poll interval</t>
  </si>
  <si>
    <t xml:space="preserve">live_poll_s</t>
  </si>
  <si>
    <t xml:space="preserve">LIVE_POLL_MS in web/js/main.js</t>
  </si>
  <si>
    <t xml:space="preserve">Dashboard page loads</t>
  </si>
  <si>
    <t xml:space="preserve">page_loads</t>
  </si>
  <si>
    <t xml:space="preserve">loads/day</t>
  </si>
  <si>
    <t xml:space="preserve">Each load downloads web/ through CloudFront (caching disabled) and calls config/active/lists</t>
  </si>
  <si>
    <t xml:space="preserve">History / alarm queries</t>
  </si>
  <si>
    <t xml:space="preserve">history_q</t>
  </si>
  <si>
    <t xml:space="preserve">queries/day</t>
  </si>
  <si>
    <t xml:space="preserve">Every History or Alarms view refresh runs one Athena query</t>
  </si>
  <si>
    <t xml:space="preserve">Average query range</t>
  </si>
  <si>
    <t xml:space="preserve">history_days</t>
  </si>
  <si>
    <t xml:space="preserve">Range selected in History/Alarms (max 31 days, MAX_RANGE_DAYS)</t>
  </si>
  <si>
    <t xml:space="preserve">Excel/CSV exports</t>
  </si>
  <si>
    <t xml:space="preserve">exports</t>
  </si>
  <si>
    <t xml:space="preserve">exports/month</t>
  </si>
  <si>
    <t xml:space="preserve">GET /export runs one Athena query</t>
  </si>
  <si>
    <t xml:space="preserve">Tests and reports</t>
  </si>
  <si>
    <t xml:space="preserve">Tests per month</t>
  </si>
  <si>
    <t xml:space="preserve">tests_month</t>
  </si>
  <si>
    <t xml:space="preserve">tests/month</t>
  </si>
  <si>
    <t xml:space="preserve">Each Start/Stop test produces one report (3 Athena queries)</t>
  </si>
  <si>
    <t xml:space="preserve">Average test duration</t>
  </si>
  <si>
    <t xml:space="preserve">test_hours</t>
  </si>
  <si>
    <t xml:space="preserve">hours</t>
  </si>
  <si>
    <t xml:space="preserve">Report queries scan whole days</t>
  </si>
  <si>
    <t xml:space="preserve">Weekly reports per month</t>
  </si>
  <si>
    <t xml:space="preserve">weekly_reports</t>
  </si>
  <si>
    <t xml:space="preserve">reports/month</t>
  </si>
  <si>
    <t xml:space="preserve">EventBridge every Monday</t>
  </si>
  <si>
    <t xml:space="preserve">Retention and pricing options</t>
  </si>
  <si>
    <t xml:space="preserve">Months of history kept in S3 / CloudWatch</t>
  </si>
  <si>
    <t xml:space="preserve">months_kept</t>
  </si>
  <si>
    <t xml:space="preserve">months</t>
  </si>
  <si>
    <t xml:space="preserve">Raw data never expires (bucket Retain, no expiry rule). Storage cost shown is the month after this many months</t>
  </si>
  <si>
    <t xml:space="preserve">Apply AWS always-free tier</t>
  </si>
  <si>
    <t xml:space="preserve">free_tier</t>
  </si>
  <si>
    <t xml:space="preserve">No</t>
  </si>
  <si>
    <t xml:space="preserve">Yes/No</t>
  </si>
  <si>
    <t xml:space="preserve">Yes = subtract always-free allowances (Lambda, CloudFront, CloudWatch, DynamoDB storage, Glue, data transfer). One allowance per AWS account, shared by all sites</t>
  </si>
  <si>
    <t xml:space="preserve">Technical constants (from the code - change only if the code changes)</t>
  </si>
  <si>
    <t xml:space="preserve">Data payload fixed part</t>
  </si>
  <si>
    <t xml:space="preserve">data_base_b</t>
  </si>
  <si>
    <t xml:space="preserve">bytes</t>
  </si>
  <si>
    <t xml:space="preserve">json.dumps({"ts": "&lt;ISO time&gt;", "devices": {}}) in edge_node_improved.publisher()</t>
  </si>
  <si>
    <t xml:space="preserve">Per-sensor overhead (+ sensor name length)</t>
  </si>
  <si>
    <t xml:space="preserve">sensor_over_b</t>
  </si>
  <si>
    <t xml:space="preserve">"&lt;name&gt;": {"val": 23.45, "status": "OK", "alarm": "NORMAL"}, — 53 B + 2 B separator</t>
  </si>
  <si>
    <t xml:space="preserve">Per-device overhead (+ device id length)</t>
  </si>
  <si>
    <t xml:space="preserve">device_over_b</t>
  </si>
  <si>
    <t xml:space="preserve">"&lt;device&gt;": {...}, — 6 B + 2 B separator</t>
  </si>
  <si>
    <t xml:space="preserve">System payload</t>
  </si>
  <si>
    <t xml:space="preserve">sys_payload_b</t>
  </si>
  <si>
    <t xml:space="preserve">get_system_status(): ts, gateway, city, city_time, platform, cpu/ram/disk, ip, os</t>
  </si>
  <si>
    <t xml:space="preserve">Fields added by the IoT rule</t>
  </si>
  <si>
    <t xml:space="preserve">iot_added_b</t>
  </si>
  <si>
    <t xml:space="preserve">SELECT *, clientid() AS gw, timestamp() AS rx_ms — stored in S3, read by Athena</t>
  </si>
  <si>
    <t xml:space="preserve">TLS record overhead</t>
  </si>
  <si>
    <t xml:space="preserve">tls_b</t>
  </si>
  <si>
    <t xml:space="preserve">bytes/packet</t>
  </si>
  <si>
    <t xml:space="preserve">TLS 1.2 AES-GCM: 5 header + 8 nonce + 16 tag</t>
  </si>
  <si>
    <t xml:space="preserve">TCP/IP header overhead</t>
  </si>
  <si>
    <t xml:space="preserve">tcpip_b</t>
  </si>
  <si>
    <t xml:space="preserve">IPv4 20 + TCP 20 + timestamps option 12</t>
  </si>
  <si>
    <t xml:space="preserve">Firehose buffer interval</t>
  </si>
  <si>
    <t xml:space="preserve">fh_buffer_s</t>
  </si>
  <si>
    <t xml:space="preserve">BufferingHints IntervalInSeconds in infra/template.yaml → one S3 object per stream per minute</t>
  </si>
  <si>
    <t xml:space="preserve">Athena minimum billed per query</t>
  </si>
  <si>
    <t xml:space="preserve">athena_min_mb</t>
  </si>
  <si>
    <t xml:space="preserve">MB</t>
  </si>
  <si>
    <t xml:space="preserve">Athena bills at least 10 MB per query</t>
  </si>
  <si>
    <t xml:space="preserve">API calls per page load</t>
  </si>
  <si>
    <t xml:space="preserve">api_per_load</t>
  </si>
  <si>
    <t xml:space="preserve">requests</t>
  </si>
  <si>
    <t xml:space="preserve">config, live, tests/active, tests list, reports list</t>
  </si>
  <si>
    <t xml:space="preserve">API calls per test</t>
  </si>
  <si>
    <t xml:space="preserve">api_per_test</t>
  </si>
  <si>
    <t xml:space="preserve">start, stop, comments, report status polls</t>
  </si>
  <si>
    <t xml:space="preserve">DynamoDB writes per test</t>
  </si>
  <si>
    <t xml:space="preserve">ddb_writes_test</t>
  </si>
  <si>
    <t xml:space="preserve">writes</t>
  </si>
  <si>
    <t xml:space="preserve">test item, ACTIVE state put/delete, comments, report status</t>
  </si>
  <si>
    <t xml:space="preserve">Dashboard files per page load</t>
  </si>
  <si>
    <t xml:space="preserve">web_files</t>
  </si>
  <si>
    <t xml:space="preserve">files</t>
  </si>
  <si>
    <t xml:space="preserve">web/ has 14 files + index (Highcharts comes from its own CDN, not AWS)</t>
  </si>
  <si>
    <t xml:space="preserve">Dashboard size per page load</t>
  </si>
  <si>
    <t xml:space="preserve">web_kb</t>
  </si>
  <si>
    <t xml:space="preserve">KB</t>
  </si>
  <si>
    <t xml:space="preserve">du -b web/ = 47,121 bytes (served uncompressed, CachingDisabled policy)</t>
  </si>
  <si>
    <t xml:space="preserve">/live response fixed part</t>
  </si>
  <si>
    <t xml:space="preserve">live_base_b</t>
  </si>
  <si>
    <t xml:space="preserve">Estimate: timestamps, system block, JSON framing</t>
  </si>
  <si>
    <t xml:space="preserve">/live response per sensor</t>
  </si>
  <si>
    <t xml:space="preserve">live_sensor_b</t>
  </si>
  <si>
    <t xml:space="preserve">Estimate: key + val/status/alarm</t>
  </si>
  <si>
    <t xml:space="preserve">/tests/active response</t>
  </si>
  <si>
    <t xml:space="preserve">active_resp_b</t>
  </si>
  <si>
    <t xml:space="preserve">Estimate</t>
  </si>
  <si>
    <t xml:space="preserve">History/alarms response</t>
  </si>
  <si>
    <t xml:space="preserve">history_resp_kb</t>
  </si>
  <si>
    <t xml:space="preserve">Estimate: ~2000 bucketed points</t>
  </si>
  <si>
    <t xml:space="preserve">API Lambda memory</t>
  </si>
  <si>
    <t xml:space="preserve">api_mem_mb</t>
  </si>
  <si>
    <t xml:space="preserve">Globals.Function.MemorySize (arm64)</t>
  </si>
  <si>
    <t xml:space="preserve">API Lambda duration (simple call)</t>
  </si>
  <si>
    <t xml:space="preserve">api_ms</t>
  </si>
  <si>
    <t xml:space="preserve">ms</t>
  </si>
  <si>
    <t xml:space="preserve">Estimate: S3/DynamoDB read</t>
  </si>
  <si>
    <t xml:space="preserve">API Lambda duration (Athena call)</t>
  </si>
  <si>
    <t xml:space="preserve">athena_ms</t>
  </si>
  <si>
    <t xml:space="preserve">Estimate: Lambda waits for the Athena query to finish</t>
  </si>
  <si>
    <t xml:space="preserve">Report Lambda memory</t>
  </si>
  <si>
    <t xml:space="preserve">report_mem_mb</t>
  </si>
  <si>
    <t xml:space="preserve">ReportFunction MemorySize</t>
  </si>
  <si>
    <t xml:space="preserve">Report Lambda duration</t>
  </si>
  <si>
    <t xml:space="preserve">report_s</t>
  </si>
  <si>
    <t xml:space="preserve">Estimate: 3 Athena queries + HTML/XLSX build</t>
  </si>
  <si>
    <t xml:space="preserve">Report size (HTML + XLSX)</t>
  </si>
  <si>
    <t xml:space="preserve">report_mb</t>
  </si>
  <si>
    <t xml:space="preserve">Log volume per Lambda invocation</t>
  </si>
  <si>
    <t xml:space="preserve">log_kb</t>
  </si>
  <si>
    <t xml:space="preserve">START/END/REPORT lines + app logs. No log retention is set, so logs accumulate</t>
  </si>
  <si>
    <t xml:space="preserve">Glue catalog requests per Athena query</t>
  </si>
  <si>
    <t xml:space="preserve">glue_per_query</t>
  </si>
  <si>
    <t xml:space="preserve">Estimate: GetDatabase/GetTable/GetPartitions</t>
  </si>
  <si>
    <t xml:space="preserve">AWS unit prices — us-east-1 (N. Virginia), on-demand, USD</t>
  </si>
  <si>
    <t xml:space="preserve">Prices are list prices as known when this file was built (Oct 2026) and are NOT fetched live. Check each against the source link before quoting; edit the blue cells to update every calculation.</t>
  </si>
  <si>
    <t xml:space="preserve">Item</t>
  </si>
  <si>
    <t xml:space="preserve">Price</t>
  </si>
  <si>
    <t xml:space="preserve">Per</t>
  </si>
  <si>
    <t xml:space="preserve">Always-free allowance (per account / month)</t>
  </si>
  <si>
    <t xml:space="preserve">Source</t>
  </si>
  <si>
    <t xml:space="preserve">Connectivity</t>
  </si>
  <si>
    <t xml:space="preserve">million connection-minutes</t>
  </si>
  <si>
    <t xml:space="preserve">https://aws.amazon.com/iot-core/pricing/</t>
  </si>
  <si>
    <t xml:space="preserve">Messaging (5 KB increments)</t>
  </si>
  <si>
    <t xml:space="preserve">million messages</t>
  </si>
  <si>
    <t xml:space="preserve">Rules triggered</t>
  </si>
  <si>
    <t xml:space="preserve">million rules</t>
  </si>
  <si>
    <t xml:space="preserve">Rule actions executed</t>
  </si>
  <si>
    <t xml:space="preserve">million actions</t>
  </si>
  <si>
    <t xml:space="preserve">Direct PUT ingestion (5 KB record rounding)</t>
  </si>
  <si>
    <t xml:space="preserve">GB ingested</t>
  </si>
  <si>
    <t xml:space="preserve">https://aws.amazon.com/firehose/pricing/</t>
  </si>
  <si>
    <t xml:space="preserve">Standard storage</t>
  </si>
  <si>
    <t xml:space="preserve">GB-month</t>
  </si>
  <si>
    <t xml:space="preserve">https://aws.amazon.com/s3/pricing/</t>
  </si>
  <si>
    <t xml:space="preserve">PUT / COPY / POST / LIST requests</t>
  </si>
  <si>
    <t xml:space="preserve">1,000 requests</t>
  </si>
  <si>
    <t xml:space="preserve">GET / SELECT requests</t>
  </si>
  <si>
    <t xml:space="preserve">Data scanned (10 MB min per query)</t>
  </si>
  <si>
    <t xml:space="preserve">TB scanned</t>
  </si>
  <si>
    <t xml:space="preserve">https://aws.amazon.com/athena/pricing/</t>
  </si>
  <si>
    <t xml:space="preserve">Data Catalog requests</t>
  </si>
  <si>
    <t xml:space="preserve">million requests</t>
  </si>
  <si>
    <t xml:space="preserve">https://aws.amazon.com/glue/pricing/</t>
  </si>
  <si>
    <t xml:space="preserve">Requests</t>
  </si>
  <si>
    <t xml:space="preserve">https://aws.amazon.com/lambda/pricing/</t>
  </si>
  <si>
    <t xml:space="preserve">Compute, arm64</t>
  </si>
  <si>
    <t xml:space="preserve">GB-second</t>
  </si>
  <si>
    <t xml:space="preserve">REST API requests</t>
  </si>
  <si>
    <t xml:space="preserve">https://aws.amazon.com/api-gateway/pricing/</t>
  </si>
  <si>
    <t xml:space="preserve">On-demand read request units</t>
  </si>
  <si>
    <t xml:space="preserve">million RRU</t>
  </si>
  <si>
    <t xml:space="preserve">https://aws.amazon.com/dynamodb/pricing/on-demand/</t>
  </si>
  <si>
    <t xml:space="preserve">On-demand write request units</t>
  </si>
  <si>
    <t xml:space="preserve">million WRU</t>
  </si>
  <si>
    <t xml:space="preserve">Storage</t>
  </si>
  <si>
    <t xml:space="preserve">HTTPS requests (North America)</t>
  </si>
  <si>
    <t xml:space="preserve">https://aws.amazon.com/cloudfront/pricing/</t>
  </si>
  <si>
    <t xml:space="preserve">Data transfer out (North America)</t>
  </si>
  <si>
    <t xml:space="preserve">GB</t>
  </si>
  <si>
    <t xml:space="preserve">Out to internet (API responses)</t>
  </si>
  <si>
    <t xml:space="preserve">https://aws.amazon.com/ec2/pricing/on-demand/#Data_Transfer</t>
  </si>
  <si>
    <t xml:space="preserve">Ingestion</t>
  </si>
  <si>
    <t xml:space="preserve">https://aws.amazon.com/cloudwatch/pricing/</t>
  </si>
  <si>
    <t xml:space="preserve">Scheduled rule (weekly report)</t>
  </si>
  <si>
    <t xml:space="preserve">invocation</t>
  </si>
  <si>
    <t xml:space="preserve">https://aws.amazon.com/eventbridge/pricing/</t>
  </si>
  <si>
    <t xml:space="preserve">No charge</t>
  </si>
  <si>
    <t xml:space="preserve">-</t>
  </si>
  <si>
    <t xml:space="preserve">Not included: IoT Device Management/Defender (not used), Route 53 (no custom domain), taxes, support plans.</t>
  </si>
  <si>
    <t xml:space="preserve">IoT data sent INTO AWS has no transfer charge. S3 lifecycle rule raw/→Standard-IA after 90 days does not apply: since Sept 2024 S3 skips transitions of objects &lt; 128 KB, and Firehose writes ~1 small object per minute, so raw data stays in Standard.</t>
  </si>
  <si>
    <t xml:space="preserve">AWS 12-month free tier / new-account credits are not modelled; only always-free allowances (toggle on the Inputs sheet).</t>
  </si>
  <si>
    <t xml:space="preserve">Traffic and usage (per site, per month unless noted)</t>
  </si>
  <si>
    <t xml:space="preserve">All cells are formulas — edit Sensors, Inputs or Prices instead.</t>
  </si>
  <si>
    <t xml:space="preserve">Quantity</t>
  </si>
  <si>
    <t xml:space="preserve">How it is calculated</t>
  </si>
  <si>
    <t xml:space="preserve">Sensors and payloads</t>
  </si>
  <si>
    <t xml:space="preserve">active_sensors</t>
  </si>
  <si>
    <t xml:space="preserve">sensors</t>
  </si>
  <si>
    <t xml:space="preserve">Rows on Sensors with Active = 1</t>
  </si>
  <si>
    <t xml:space="preserve">Devices with active sensors</t>
  </si>
  <si>
    <t xml:space="preserve">active_devices</t>
  </si>
  <si>
    <t xml:space="preserve">devices</t>
  </si>
  <si>
    <t xml:space="preserve">Distinct Device IDs</t>
  </si>
  <si>
    <t xml:space="preserve">Data message payload</t>
  </si>
  <si>
    <t xml:space="preserve">data_payload_b</t>
  </si>
  <si>
    <t xml:space="preserve">Fixed part + every active sensor + every device wrapper</t>
  </si>
  <si>
    <t xml:space="preserve">System message payload</t>
  </si>
  <si>
    <t xml:space="preserve">sys_payload</t>
  </si>
  <si>
    <t xml:space="preserve">Independent of sensor count</t>
  </si>
  <si>
    <t xml:space="preserve">Data messages per day</t>
  </si>
  <si>
    <t xml:space="preserve">data_msgs_day</t>
  </si>
  <si>
    <t xml:space="preserve">messages/day</t>
  </si>
  <si>
    <t xml:space="preserve">86,400 s ÷ data interval</t>
  </si>
  <si>
    <t xml:space="preserve">System messages per day</t>
  </si>
  <si>
    <t xml:space="preserve">sys_msgs_day</t>
  </si>
  <si>
    <t xml:space="preserve">86,400 s ÷ system interval</t>
  </si>
  <si>
    <t xml:space="preserve">Network traffic Pi ↔ AWS IoT (MQTT over TLS, QoS 1)</t>
  </si>
  <si>
    <t xml:space="preserve">Data packet on the wire (upload)</t>
  </si>
  <si>
    <t xml:space="preserve">data_up_b</t>
  </si>
  <si>
    <t xml:space="preserve">Payload + MQTT header (fixed 2 + topic length 2 + topic + packet id 2) + TLS + TCP/IP</t>
  </si>
  <si>
    <t xml:space="preserve">System packet on the wire (upload)</t>
  </si>
  <si>
    <t xml:space="preserve">sys_up_b</t>
  </si>
  <si>
    <t xml:space="preserve">Same, for the system topic</t>
  </si>
  <si>
    <t xml:space="preserve">PUBACK received per message (download)</t>
  </si>
  <si>
    <t xml:space="preserve">ack_down_b</t>
  </si>
  <si>
    <t xml:space="preserve">QoS 1 acknowledgement from AWS</t>
  </si>
  <si>
    <t xml:space="preserve">TCP ACK sent per message (upload)</t>
  </si>
  <si>
    <t xml:space="preserve">ack_up_b</t>
  </si>
  <si>
    <t xml:space="preserve">Pi acknowledges the PUBACK segment</t>
  </si>
  <si>
    <t xml:space="preserve">Payload per day</t>
  </si>
  <si>
    <t xml:space="preserve">payload_day_mb</t>
  </si>
  <si>
    <t xml:space="preserve">MB/day</t>
  </si>
  <si>
    <t xml:space="preserve">Total on the wire per day</t>
  </si>
  <si>
    <t xml:space="preserve">wire_day_mb</t>
  </si>
  <si>
    <t xml:space="preserve">Upload + download, all overhead included (excludes rare TLS reconnects, ~7 KB each)</t>
  </si>
  <si>
    <t xml:space="preserve">Payload per month</t>
  </si>
  <si>
    <t xml:space="preserve">payload_month_mb</t>
  </si>
  <si>
    <t xml:space="preserve">MB/month</t>
  </si>
  <si>
    <t xml:space="preserve">Total on the wire per month</t>
  </si>
  <si>
    <t xml:space="preserve">wire_month_mb</t>
  </si>
  <si>
    <t xml:space="preserve">Use this to size the Pi's mobile data plan</t>
  </si>
  <si>
    <t xml:space="preserve">msgs_month</t>
  </si>
  <si>
    <t xml:space="preserve">messages</t>
  </si>
  <si>
    <t xml:space="preserve">IoT billed messages per month</t>
  </si>
  <si>
    <t xml:space="preserve">iot_billed_month</t>
  </si>
  <si>
    <t xml:space="preserve">Each message billed per started 5 KB; above ~90 sensors a data message counts twice</t>
  </si>
  <si>
    <t xml:space="preserve">Storage pipeline (IoT rules → Firehose → S3, plus latest/*.json)</t>
  </si>
  <si>
    <t xml:space="preserve">Stored data record</t>
  </si>
  <si>
    <t xml:space="preserve">data_rec_b</t>
  </si>
  <si>
    <t xml:space="preserve">Payload + gw + rx_ms added by the IoT rule</t>
  </si>
  <si>
    <t xml:space="preserve">Stored system record</t>
  </si>
  <si>
    <t xml:space="preserve">sys_rec_b</t>
  </si>
  <si>
    <t xml:space="preserve">Raw data bytes per day (data table)</t>
  </si>
  <si>
    <t xml:space="preserve">raw_day_data</t>
  </si>
  <si>
    <t xml:space="preserve">bytes/day</t>
  </si>
  <si>
    <t xml:space="preserve">What Athena scans per day of history</t>
  </si>
  <si>
    <t xml:space="preserve">Raw data bytes per day (system table)</t>
  </si>
  <si>
    <t xml:space="preserve">raw_day_sys</t>
  </si>
  <si>
    <t xml:space="preserve">New raw data per month</t>
  </si>
  <si>
    <t xml:space="preserve">raw_gb_month</t>
  </si>
  <si>
    <t xml:space="preserve">GB/month</t>
  </si>
  <si>
    <t xml:space="preserve">Uncompressed JSON (Firehose CompressionFormat UNCOMPRESSED)</t>
  </si>
  <si>
    <t xml:space="preserve">Firehose billed volume</t>
  </si>
  <si>
    <t xml:space="preserve">fh_gb_month</t>
  </si>
  <si>
    <t xml:space="preserve">Every record rounded up to 5 KB — small records cost far more than their size</t>
  </si>
  <si>
    <t xml:space="preserve">S3 objects per day, data stream</t>
  </si>
  <si>
    <t xml:space="preserve">objs_day_data</t>
  </si>
  <si>
    <t xml:space="preserve">objects/day</t>
  </si>
  <si>
    <t xml:space="preserve">One object per buffer interval while data flows</t>
  </si>
  <si>
    <t xml:space="preserve">S3 objects per day, system stream</t>
  </si>
  <si>
    <t xml:space="preserve">objs_day_sys</t>
  </si>
  <si>
    <t xml:space="preserve">Firehose S3 PUTs per month</t>
  </si>
  <si>
    <t xml:space="preserve">fh_puts_month</t>
  </si>
  <si>
    <t xml:space="preserve">latest/*.json S3 PUTs per month</t>
  </si>
  <si>
    <t xml:space="preserve">latest_puts_month</t>
  </si>
  <si>
    <t xml:space="preserve">IoT rule S3 action overwrites latest/data.json or latest/system.json on EVERY message</t>
  </si>
  <si>
    <t xml:space="preserve">S3 storage at retention horizon</t>
  </si>
  <si>
    <t xml:space="preserve">s3_store_gb</t>
  </si>
  <si>
    <t xml:space="preserve">Raw history + reports after 'months kept'; grows linearly forever (no expiry)</t>
  </si>
  <si>
    <t xml:space="preserve">Dashboard and API</t>
  </si>
  <si>
    <t xml:space="preserve">Live polls per month</t>
  </si>
  <si>
    <t xml:space="preserve">live_polls</t>
  </si>
  <si>
    <t xml:space="preserve">polls</t>
  </si>
  <si>
    <t xml:space="preserve">Each poll = GET /live + GET /tests/active</t>
  </si>
  <si>
    <t xml:space="preserve">Page loads per month</t>
  </si>
  <si>
    <t xml:space="preserve">page_loads_month</t>
  </si>
  <si>
    <t xml:space="preserve">loads</t>
  </si>
  <si>
    <t xml:space="preserve">History/alarm queries per month</t>
  </si>
  <si>
    <t xml:space="preserve">history_month</t>
  </si>
  <si>
    <t xml:space="preserve">queries</t>
  </si>
  <si>
    <t xml:space="preserve">Reports per month</t>
  </si>
  <si>
    <t xml:space="preserve">reports_month</t>
  </si>
  <si>
    <t xml:space="preserve">reports</t>
  </si>
  <si>
    <t xml:space="preserve">Test reports + weekly reports</t>
  </si>
  <si>
    <t xml:space="preserve">Simple API requests</t>
  </si>
  <si>
    <t xml:space="preserve">api_simple</t>
  </si>
  <si>
    <t xml:space="preserve">No Athena involved</t>
  </si>
  <si>
    <t xml:space="preserve">Athena-backed API requests</t>
  </si>
  <si>
    <t xml:space="preserve">api_athena</t>
  </si>
  <si>
    <t xml:space="preserve">/history, /alarms, /export</t>
  </si>
  <si>
    <t xml:space="preserve">API Gateway requests</t>
  </si>
  <si>
    <t xml:space="preserve">api_requests</t>
  </si>
  <si>
    <t xml:space="preserve">Lambda invocations</t>
  </si>
  <si>
    <t xml:space="preserve">lambda_inv</t>
  </si>
  <si>
    <t xml:space="preserve">invocations</t>
  </si>
  <si>
    <t xml:space="preserve">API function + report function</t>
  </si>
  <si>
    <t xml:space="preserve">Lambda compute</t>
  </si>
  <si>
    <t xml:space="preserve">lambda_gbs</t>
  </si>
  <si>
    <t xml:space="preserve">GB-seconds</t>
  </si>
  <si>
    <t xml:space="preserve">Duration × memory</t>
  </si>
  <si>
    <t xml:space="preserve">API response data out</t>
  </si>
  <si>
    <t xml:space="preserve">api_out_gb</t>
  </si>
  <si>
    <t xml:space="preserve">DynamoDB reads</t>
  </si>
  <si>
    <t xml:space="preserve">ddb_reads</t>
  </si>
  <si>
    <t xml:space="preserve">read units</t>
  </si>
  <si>
    <t xml:space="preserve">/tests/active on every poll, test lists, comments</t>
  </si>
  <si>
    <t xml:space="preserve">DynamoDB writes</t>
  </si>
  <si>
    <t xml:space="preserve">ddb_writes</t>
  </si>
  <si>
    <t xml:space="preserve">write units</t>
  </si>
  <si>
    <t xml:space="preserve">CloudFront requests</t>
  </si>
  <si>
    <t xml:space="preserve">cf_requests</t>
  </si>
  <si>
    <t xml:space="preserve">CloudFront data out</t>
  </si>
  <si>
    <t xml:space="preserve">cf_gb</t>
  </si>
  <si>
    <t xml:space="preserve">S3 GETs from dashboard</t>
  </si>
  <si>
    <t xml:space="preserve">s3_get_dash</t>
  </si>
  <si>
    <t xml:space="preserve">latest/data + latest/system per poll; web files (CloudFront caching disabled); config.json refresh every 5 min</t>
  </si>
  <si>
    <t xml:space="preserve">Athena (history, exports, reports)</t>
  </si>
  <si>
    <t xml:space="preserve">Scan per history/export query</t>
  </si>
  <si>
    <t xml:space="preserve">q_hist_b</t>
  </si>
  <si>
    <t xml:space="preserve">Whole dt= day partitions in the range (+1 boundary day), minimum 10 MB</t>
  </si>
  <si>
    <t xml:space="preserve">Days scanned per test report</t>
  </si>
  <si>
    <t xml:space="preserve">test_days</t>
  </si>
  <si>
    <t xml:space="preserve">Scan per test report</t>
  </si>
  <si>
    <t xml:space="preserve">q_test_b</t>
  </si>
  <si>
    <t xml:space="preserve">sensor_summary + data_gaps (data table) + system_summary</t>
  </si>
  <si>
    <t xml:space="preserve">Scan per weekly report</t>
  </si>
  <si>
    <t xml:space="preserve">q_week_b</t>
  </si>
  <si>
    <t xml:space="preserve">Same 3 queries over 7 days (+1 boundary)</t>
  </si>
  <si>
    <t xml:space="preserve">Athena queries per month</t>
  </si>
  <si>
    <t xml:space="preserve">athena_queries</t>
  </si>
  <si>
    <t xml:space="preserve">Athena data scanned</t>
  </si>
  <si>
    <t xml:space="preserve">athena_tb</t>
  </si>
  <si>
    <t xml:space="preserve">TB/month</t>
  </si>
  <si>
    <t xml:space="preserve">S3 GETs by Athena</t>
  </si>
  <si>
    <t xml:space="preserve">s3_get_athena</t>
  </si>
  <si>
    <t xml:space="preserve">Athena reads every small Firehose object in the range; billed to the bucket owner</t>
  </si>
  <si>
    <t xml:space="preserve">S3 PUTs other</t>
  </si>
  <si>
    <t xml:space="preserve">s3_put_other</t>
  </si>
  <si>
    <t xml:space="preserve">Athena results (csv + metadata), exports, report files</t>
  </si>
  <si>
    <t xml:space="preserve">Glue catalog requests</t>
  </si>
  <si>
    <t xml:space="preserve">glue_requests</t>
  </si>
  <si>
    <t xml:space="preserve">CloudWatch log ingestion</t>
  </si>
  <si>
    <t xml:space="preserve">logs_gb</t>
  </si>
  <si>
    <t xml:space="preserve">CloudWatch log storage at retention horizon</t>
  </si>
  <si>
    <t xml:space="preserve">logs_store_gb</t>
  </si>
  <si>
    <t xml:space="preserve">No retention configured on the Lambda log groups</t>
  </si>
  <si>
    <t xml:space="preserve">Monthly cost per site (USD)</t>
  </si>
  <si>
    <t xml:space="preserve">Usage</t>
  </si>
  <si>
    <t xml:space="preserve">Usage unit</t>
  </si>
  <si>
    <t xml:space="preserve">Free allowance</t>
  </si>
  <si>
    <t xml:space="preserve">Billable</t>
  </si>
  <si>
    <t xml:space="preserve">Unit price</t>
  </si>
  <si>
    <t xml:space="preserve">Monthly cost</t>
  </si>
  <si>
    <t xml:space="preserve">Connectivity (always connected)</t>
  </si>
  <si>
    <t xml:space="preserve">million conn-min</t>
  </si>
  <si>
    <t xml:space="preserve">Messaging</t>
  </si>
  <si>
    <t xml:space="preserve">Rule actions (Firehose + S3 per message)</t>
  </si>
  <si>
    <t xml:space="preserve">Ingestion (5 KB rounding)</t>
  </si>
  <si>
    <t xml:space="preserve">PUT: latest/*.json on every message</t>
  </si>
  <si>
    <t xml:space="preserve">PUT: Firehose objects</t>
  </si>
  <si>
    <t xml:space="preserve">PUT: Athena results, exports, reports</t>
  </si>
  <si>
    <t xml:space="preserve">GET: dashboard (live, web files, config)</t>
  </si>
  <si>
    <t xml:space="preserve">GET: Athena reading raw objects</t>
  </si>
  <si>
    <t xml:space="preserve">Storage (at retention horizon)</t>
  </si>
  <si>
    <t xml:space="preserve">Data scanned</t>
  </si>
  <si>
    <t xml:space="preserve">TB</t>
  </si>
  <si>
    <t xml:space="preserve">Compute (arm64)</t>
  </si>
  <si>
    <t xml:space="preserve">REST requests</t>
  </si>
  <si>
    <t xml:space="preserve">Reads</t>
  </si>
  <si>
    <t xml:space="preserve">Writes</t>
  </si>
  <si>
    <t xml:space="preserve">HTTPS requests</t>
  </si>
  <si>
    <t xml:space="preserve">Data transfer out</t>
  </si>
  <si>
    <t xml:space="preserve">API responses to internet</t>
  </si>
  <si>
    <t xml:space="preserve">Weekly schedule</t>
  </si>
  <si>
    <t xml:space="preserve">Total per site per month</t>
  </si>
  <si>
    <t xml:space="preserve">Free allowances are per AWS account; with several sites the model applies them to each site, so leave the toggle on 'No' for a conservative multi-site figure.</t>
  </si>
  <si>
    <t xml:space="preserve">Cellular data plan per Pi (gateway → AWS IoT plus everything else the Pi does online)</t>
  </si>
  <si>
    <t xml:space="preserve">Blue = edit · black = formula · green = from another sheet. Sensor traffic comes from the Calculation sheet; the other lines are assumptions — measure the real usage on the Pi after a week (vnstat or /sys/class/net/&lt;iface&gt;/statistics).</t>
  </si>
  <si>
    <t xml:space="preserve">Gateway traffic (sensor + system messages)</t>
  </si>
  <si>
    <t xml:space="preserve">Gateway MQTT traffic</t>
  </si>
  <si>
    <t xml:space="preserve">dp_gateway_mb</t>
  </si>
  <si>
    <t xml:space="preserve">Calculation sheet: payload + MQTT/TLS/TCP overhead + acks, for the active sensors and intervals</t>
  </si>
  <si>
    <t xml:space="preserve">Other traffic on the Pi (assumptions)</t>
  </si>
  <si>
    <t xml:space="preserve">MQTT reconnects</t>
  </si>
  <si>
    <t xml:space="preserve">dp_reconnects</t>
  </si>
  <si>
    <t xml:space="preserve">per day</t>
  </si>
  <si>
    <t xml:space="preserve">Weak cellular signal → more reconnects. Each one repeats the TLS handshake</t>
  </si>
  <si>
    <t xml:space="preserve">Traffic per reconnect</t>
  </si>
  <si>
    <t xml:space="preserve">dp_reconnect_kb</t>
  </si>
  <si>
    <t xml:space="preserve">TLS handshake with certificate chain + MQTT CONNECT</t>
  </si>
  <si>
    <t xml:space="preserve">TCP retransmissions</t>
  </si>
  <si>
    <t xml:space="preserve">dp_retrans_pct</t>
  </si>
  <si>
    <t xml:space="preserve">% of gateway traffic</t>
  </si>
  <si>
    <t xml:space="preserve">Typically 5–15 % on cellular</t>
  </si>
  <si>
    <t xml:space="preserve">DNS + NTP time sync</t>
  </si>
  <si>
    <t xml:space="preserve">dp_dns_ntp_mb</t>
  </si>
  <si>
    <t xml:space="preserve">Remote SSH / maintenance</t>
  </si>
  <si>
    <t xml:space="preserve">dp_ssh_mb</t>
  </si>
  <si>
    <t xml:space="preserve">More if you copy logs or databases off the Pi</t>
  </si>
  <si>
    <t xml:space="preserve">Code/config updates (push_site.sh)</t>
  </si>
  <si>
    <t xml:space="preserve">dp_deploys</t>
  </si>
  <si>
    <t xml:space="preserve">per month</t>
  </si>
  <si>
    <t xml:space="preserve">rsync of the Akvo_Green code + config.json</t>
  </si>
  <si>
    <t xml:space="preserve">Traffic per update</t>
  </si>
  <si>
    <t xml:space="preserve">dp_deploy_mb</t>
  </si>
  <si>
    <t xml:space="preserve">Estimate; rsync only sends changed files</t>
  </si>
  <si>
    <t xml:space="preserve">OS updates (apt / unattended-upgrades)</t>
  </si>
  <si>
    <t xml:space="preserve">dp_os_mb</t>
  </si>
  <si>
    <t xml:space="preserve">0 = automatic updates disabled and done over Wi-Fi/Ethernet. If left on, budget 300+ MB (a kernel/firmware update alone can exceed this)</t>
  </si>
  <si>
    <t xml:space="preserve">Carrier minimum billed per session</t>
  </si>
  <si>
    <t xml:space="preserve">dp_session_min_kb</t>
  </si>
  <si>
    <t xml:space="preserve">0 = billed by actual usage. Some M2M plans round each data session up (e.g. 100 KB); every reconnect starts a new session</t>
  </si>
  <si>
    <t xml:space="preserve">Safety margin</t>
  </si>
  <si>
    <t xml:space="preserve">dp_margin</t>
  </si>
  <si>
    <t xml:space="preserve">%</t>
  </si>
  <si>
    <t xml:space="preserve">Headroom for unexpected traffic and month-to-month variation</t>
  </si>
  <si>
    <t xml:space="preserve">Monthly data needed per Pi</t>
  </si>
  <si>
    <t xml:space="preserve">Reconnects</t>
  </si>
  <si>
    <t xml:space="preserve">dp_reconnect_mb</t>
  </si>
  <si>
    <t xml:space="preserve">Reconnects × KB × days</t>
  </si>
  <si>
    <t xml:space="preserve">Retransmissions</t>
  </si>
  <si>
    <t xml:space="preserve">dp_retrans_mb</t>
  </si>
  <si>
    <t xml:space="preserve">Gateway traffic × %</t>
  </si>
  <si>
    <t xml:space="preserve">Updates</t>
  </si>
  <si>
    <t xml:space="preserve">dp_updates_mb</t>
  </si>
  <si>
    <t xml:space="preserve">Code updates + OS updates</t>
  </si>
  <si>
    <t xml:space="preserve">Carrier session rounding</t>
  </si>
  <si>
    <t xml:space="preserve">dp_rounding_mb</t>
  </si>
  <si>
    <t xml:space="preserve">Extra billed when each session is rounded up to the carrier minimum</t>
  </si>
  <si>
    <t xml:space="preserve">Subtotal</t>
  </si>
  <si>
    <t xml:space="preserve">dp_subtotal_mb</t>
  </si>
  <si>
    <t xml:space="preserve">Data needed per Pi (with margin)</t>
  </si>
  <si>
    <t xml:space="preserve">dp_required_mb</t>
  </si>
  <si>
    <t xml:space="preserve">Size the plan with this</t>
  </si>
  <si>
    <t xml:space="preserve">Per day</t>
  </si>
  <si>
    <t xml:space="preserve">dp_required_day_mb</t>
  </si>
  <si>
    <t xml:space="preserve">All Pis (× sites)</t>
  </si>
  <si>
    <t xml:space="preserve">dp_required_all_gb</t>
  </si>
  <si>
    <t xml:space="preserve">If the SIMs share a pooled plan</t>
  </si>
  <si>
    <t xml:space="preserve">Plan options (list from smallest to largest; enter your carrier's plans and prices)</t>
  </si>
  <si>
    <t xml:space="preserve">Currency</t>
  </si>
  <si>
    <t xml:space="preserve">dp_currency</t>
  </si>
  <si>
    <t xml:space="preserve">MXN</t>
  </si>
  <si>
    <t xml:space="preserve">Currency of the prices below</t>
  </si>
  <si>
    <t xml:space="preserve">Plan</t>
  </si>
  <si>
    <t xml:space="preserve">Data (MB/month)</t>
  </si>
  <si>
    <t xml:space="preserve">Price / month</t>
  </si>
  <si>
    <t xml:space="preserve">Fits?</t>
  </si>
  <si>
    <t xml:space="preserve">Headroom</t>
  </si>
  <si>
    <t xml:space="preserve">250 MB</t>
  </si>
  <si>
    <t xml:space="preserve">500 MB</t>
  </si>
  <si>
    <t xml:space="preserve">1 GB</t>
  </si>
  <si>
    <t xml:space="preserve">2 GB</t>
  </si>
  <si>
    <t xml:space="preserve">3 GB</t>
  </si>
  <si>
    <t xml:space="preserve">5 GB</t>
  </si>
  <si>
    <t xml:space="preserve">Price column left empty = unknown; fill in your carrier's offer to see the monthly cost.</t>
  </si>
  <si>
    <t xml:space="preserve">Recommended plan per Pi</t>
  </si>
  <si>
    <t xml:space="preserve">dp_plan</t>
  </si>
  <si>
    <t xml:space="preserve">Smallest listed plan that covers the data needed</t>
  </si>
  <si>
    <t xml:space="preserve">Plan size</t>
  </si>
  <si>
    <t xml:space="preserve">dp_plan_mb</t>
  </si>
  <si>
    <t xml:space="preserve">Plan price per Pi</t>
  </si>
  <si>
    <t xml:space="preserve">dp_plan_price</t>
  </si>
  <si>
    <t xml:space="preserve">In the currency above</t>
  </si>
  <si>
    <t xml:space="preserve">Plan price, all Pis</t>
  </si>
  <si>
    <t xml:space="preserve">dp_plan_price_all</t>
  </si>
  <si>
    <t xml:space="preserve">× number of sites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</si>
</sst>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#,##0.00;\(#,##0.00\);\-"/>
    <numFmt numFmtId="167" formatCode="#,##0.0000;\(#,##0.0000\);\-"/>
    <numFmt numFmtId="168" formatCode="\$#,##0.00;&quot;($&quot;#,##0.00\);\-"/>
    <numFmt numFmtId="169" formatCode="\$#,##0.0000;&quot;($&quot;#,##0.0000\);\-"/>
    <numFmt numFmtId="170" formatCode="0.0%;\(0.0%\);\-"/>
    <numFmt numFmtId="171" formatCode="\$#,##0.0000000000"/>
    <numFmt numFmtId="172" formatCode="0.000000"/>
    <numFmt numFmtId="173" formatCode="#,##0.000000"/>
    <numFmt numFmtId="174" formatCode="0.0%"/>
    <numFmt numFmtId="175" formatCode="0%"/>
    <numFmt numFmtId="176" formatCode="0%;\-0%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cost per site by service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Summary!B25</c:f>
              <c:strCache>
                <c:ptCount val="1"/>
                <c:pt idx="0">
                  <c:v>USD / month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Summary!$A$26:$A$38</c:f>
              <c:strCache>
                <c:ptCount val="13"/>
                <c:pt idx="0">
                  <c:v>IoT Core</c:v>
                </c:pt>
                <c:pt idx="1">
                  <c:v>Data Firehose</c:v>
                </c:pt>
                <c:pt idx="2">
                  <c:v>S3</c:v>
                </c:pt>
                <c:pt idx="3">
                  <c:v>Athena</c:v>
                </c:pt>
                <c:pt idx="4">
                  <c:v>Glue</c:v>
                </c:pt>
                <c:pt idx="5">
                  <c:v>Lambda</c:v>
                </c:pt>
                <c:pt idx="6">
                  <c:v>API Gateway</c:v>
                </c:pt>
                <c:pt idx="7">
                  <c:v>DynamoDB</c:v>
                </c:pt>
                <c:pt idx="8">
                  <c:v>CloudFront</c:v>
                </c:pt>
                <c:pt idx="9">
                  <c:v>Data transfer</c:v>
                </c:pt>
                <c:pt idx="10">
                  <c:v>CloudWatch Logs</c:v>
                </c:pt>
                <c:pt idx="11">
                  <c:v>EventBridge</c:v>
                </c:pt>
                <c:pt idx="12">
                  <c:v>IAM / API keys / usage plan</c:v>
                </c:pt>
              </c:strCache>
            </c:strRef>
          </c:cat>
          <c:val>
            <c:numRef>
              <c:f>Summary!$B$26:$B$38</c:f>
              <c:numCache>
                <c:formatCode>\$#,##0.0000;"($"#,##0.0000\);\-</c:formatCode>
                <c:ptCount val="13"/>
                <c:pt idx="0">
                  <c:v>0.257544</c:v>
                </c:pt>
                <c:pt idx="1">
                  <c:v>0.0242271423339844</c:v>
                </c:pt>
                <c:pt idx="2">
                  <c:v>2.2417576171128</c:v>
                </c:pt>
                <c:pt idx="3">
                  <c:v>0.0342856287412966</c:v>
                </c:pt>
                <c:pt idx="4">
                  <c:v>0.00262133333333333</c:v>
                </c:pt>
                <c:pt idx="5">
                  <c:v>0.174762574171667</c:v>
                </c:pt>
                <c:pt idx="6">
                  <c:v>0.620911083333333</c:v>
                </c:pt>
                <c:pt idx="7">
                  <c:v>0.0113340416666667</c:v>
                </c:pt>
                <c:pt idx="8">
                  <c:v>0.00572135337193807</c:v>
                </c:pt>
                <c:pt idx="9">
                  <c:v>0.025782622396946</c:v>
                </c:pt>
                <c:pt idx="10">
                  <c:v>0.0727545404434204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95033122"/>
        <c:axId val="42601699"/>
      </c:barChart>
      <c:catAx>
        <c:axId val="95033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601699"/>
        <c:crosses val="autoZero"/>
        <c:auto val="1"/>
        <c:lblAlgn val="ctr"/>
        <c:lblOffset val="100"/>
        <c:noMultiLvlLbl val="0"/>
      </c:catAx>
      <c:valAx>
        <c:axId val="42601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00;&quot;($&quot;#,##0.00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0331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23</xdr:row>
      <xdr:rowOff>0</xdr:rowOff>
    </xdr:from>
    <xdr:to>
      <xdr:col>13</xdr:col>
      <xdr:colOff>258120</xdr:colOff>
      <xdr:row>40</xdr:row>
      <xdr:rowOff>1080</xdr:rowOff>
    </xdr:to>
    <xdr:graphicFrame>
      <xdr:nvGraphicFramePr>
        <xdr:cNvPr id="1" name="Chart 1"/>
        <xdr:cNvGraphicFramePr/>
      </xdr:nvGraphicFramePr>
      <xdr:xfrm>
        <a:off x="11729160" y="4411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5"/>
      <c r="C4" s="5"/>
    </row>
    <row r="5" customFormat="false" ht="15" hidden="false" customHeight="false" outlineLevel="0" collapsed="false">
      <c r="A5" s="6" t="n">
        <v>1</v>
      </c>
      <c r="B5" s="7" t="s">
        <v>3</v>
      </c>
      <c r="C5" s="8" t="str">
        <f aca="false">HYPERLINK("#'Sensors'!B21","→ Sensors!B21")</f>
        <v>→ Sensors!B21</v>
      </c>
    </row>
    <row r="6" customFormat="false" ht="26.85" hidden="false" customHeight="false" outlineLevel="0" collapsed="false">
      <c r="A6" s="6" t="n">
        <v>2</v>
      </c>
      <c r="B6" s="7" t="s">
        <v>4</v>
      </c>
      <c r="C6" s="2"/>
    </row>
    <row r="7" customFormat="false" ht="15" hidden="false" customHeight="false" outlineLevel="0" collapsed="false">
      <c r="A7" s="6" t="n">
        <v>3</v>
      </c>
      <c r="B7" s="7" t="s">
        <v>5</v>
      </c>
      <c r="C7" s="2"/>
    </row>
    <row r="8" customFormat="false" ht="15" hidden="false" customHeight="false" outlineLevel="0" collapsed="false">
      <c r="A8" s="6" t="n">
        <v>4</v>
      </c>
      <c r="B8" s="7" t="s">
        <v>6</v>
      </c>
      <c r="C8" s="2"/>
    </row>
    <row r="9" customFormat="false" ht="15" hidden="false" customHeight="false" outlineLevel="0" collapsed="false">
      <c r="A9" s="6" t="n">
        <v>5</v>
      </c>
      <c r="B9" s="7" t="s">
        <v>7</v>
      </c>
      <c r="C9" s="2"/>
    </row>
    <row r="10" customFormat="false" ht="15" hidden="false" customHeight="false" outlineLevel="0" collapsed="false">
      <c r="A10" s="6" t="n">
        <v>6</v>
      </c>
      <c r="B10" s="7" t="s">
        <v>8</v>
      </c>
      <c r="C10" s="8" t="str">
        <f aca="false">HYPERLINK("#'Summary'!A1","→ Summary!A1")</f>
        <v>→ Summary!A1</v>
      </c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4" t="s">
        <v>9</v>
      </c>
      <c r="B12" s="5"/>
      <c r="C12" s="5"/>
    </row>
    <row r="13" customFormat="false" ht="15" hidden="false" customHeight="false" outlineLevel="0" collapsed="false">
      <c r="A13" s="6" t="n">
        <v>1</v>
      </c>
      <c r="B13" s="7" t="s">
        <v>10</v>
      </c>
      <c r="C13" s="2"/>
    </row>
    <row r="14" customFormat="false" ht="15" hidden="false" customHeight="false" outlineLevel="0" collapsed="false">
      <c r="A14" s="6" t="n">
        <v>2</v>
      </c>
      <c r="B14" s="7" t="s">
        <v>11</v>
      </c>
      <c r="C14" s="2"/>
    </row>
    <row r="15" customFormat="false" ht="15" hidden="false" customHeight="false" outlineLevel="0" collapsed="false">
      <c r="A15" s="2"/>
      <c r="B15" s="2"/>
      <c r="C15" s="2"/>
    </row>
    <row r="16" customFormat="false" ht="15" hidden="false" customHeight="false" outlineLevel="0" collapsed="false">
      <c r="A16" s="4" t="s">
        <v>12</v>
      </c>
      <c r="B16" s="5"/>
      <c r="C16" s="5"/>
    </row>
    <row r="17" customFormat="false" ht="15" hidden="false" customHeight="false" outlineLevel="0" collapsed="false">
      <c r="A17" s="6" t="n">
        <v>1</v>
      </c>
      <c r="B17" s="7" t="s">
        <v>13</v>
      </c>
      <c r="C17" s="8" t="str">
        <f aca="false">HYPERLINK("#'Inputs'!C7","→ Inputs!C7")</f>
        <v>→ Inputs!C7</v>
      </c>
    </row>
    <row r="18" customFormat="false" ht="15" hidden="false" customHeight="false" outlineLevel="0" collapsed="false">
      <c r="A18" s="6" t="n">
        <v>2</v>
      </c>
      <c r="B18" s="7" t="s">
        <v>14</v>
      </c>
      <c r="C18" s="8" t="str">
        <f aca="false">HYPERLINK("#'Inputs'!C8","→ Inputs!C8")</f>
        <v>→ Inputs!C8</v>
      </c>
    </row>
    <row r="19" customFormat="false" ht="15" hidden="false" customHeight="false" outlineLevel="0" collapsed="false">
      <c r="A19" s="6" t="n">
        <v>3</v>
      </c>
      <c r="B19" s="7" t="s">
        <v>15</v>
      </c>
      <c r="C19" s="2"/>
    </row>
    <row r="20" customFormat="false" ht="15" hidden="false" customHeight="false" outlineLevel="0" collapsed="false">
      <c r="A20" s="6" t="n">
        <v>4</v>
      </c>
      <c r="B20" s="7" t="s">
        <v>16</v>
      </c>
      <c r="C20" s="8" t="str">
        <f aca="false">HYPERLINK("#'Inputs'!C17","→ Inputs!C17")</f>
        <v>→ Inputs!C17</v>
      </c>
    </row>
    <row r="21" customFormat="false" ht="15" hidden="false" customHeight="false" outlineLevel="0" collapsed="false">
      <c r="A21" s="2"/>
      <c r="B21" s="2"/>
      <c r="C21" s="2"/>
    </row>
    <row r="22" customFormat="false" ht="15" hidden="false" customHeight="false" outlineLevel="0" collapsed="false">
      <c r="A22" s="4" t="s">
        <v>17</v>
      </c>
      <c r="B22" s="5"/>
      <c r="C22" s="5"/>
    </row>
    <row r="23" customFormat="false" ht="15" hidden="false" customHeight="false" outlineLevel="0" collapsed="false">
      <c r="A23" s="6" t="n">
        <v>1</v>
      </c>
      <c r="B23" s="7" t="s">
        <v>18</v>
      </c>
      <c r="C23" s="8" t="str">
        <f aca="false">HYPERLINK("#'Inputs'!C11","→ Inputs!C11")</f>
        <v>→ Inputs!C11</v>
      </c>
    </row>
    <row r="24" customFormat="false" ht="15" hidden="false" customHeight="false" outlineLevel="0" collapsed="false">
      <c r="A24" s="6" t="n">
        <v>2</v>
      </c>
      <c r="B24" s="7" t="s">
        <v>19</v>
      </c>
      <c r="C24" s="2"/>
    </row>
    <row r="25" customFormat="false" ht="15" hidden="false" customHeight="false" outlineLevel="0" collapsed="false">
      <c r="A25" s="2"/>
      <c r="B25" s="2"/>
      <c r="C25" s="2"/>
    </row>
    <row r="26" customFormat="false" ht="15" hidden="false" customHeight="false" outlineLevel="0" collapsed="false">
      <c r="A26" s="4" t="s">
        <v>20</v>
      </c>
      <c r="B26" s="5"/>
      <c r="C26" s="5"/>
    </row>
    <row r="27" customFormat="false" ht="15" hidden="false" customHeight="false" outlineLevel="0" collapsed="false">
      <c r="A27" s="6" t="n">
        <v>1</v>
      </c>
      <c r="B27" s="7" t="s">
        <v>21</v>
      </c>
      <c r="C27" s="8" t="str">
        <f aca="false">HYPERLINK("#'Inputs'!C15","→ Inputs!C15")</f>
        <v>→ Inputs!C15</v>
      </c>
    </row>
    <row r="28" customFormat="false" ht="15" hidden="false" customHeight="false" outlineLevel="0" collapsed="false">
      <c r="A28" s="6" t="n">
        <v>2</v>
      </c>
      <c r="B28" s="7" t="s">
        <v>22</v>
      </c>
      <c r="C28" s="8" t="str">
        <f aca="false">HYPERLINK("#'Inputs'!C16","→ Inputs!C16")</f>
        <v>→ Inputs!C16</v>
      </c>
    </row>
    <row r="29" customFormat="false" ht="15" hidden="false" customHeight="false" outlineLevel="0" collapsed="false">
      <c r="A29" s="6" t="n">
        <v>3</v>
      </c>
      <c r="B29" s="7" t="s">
        <v>23</v>
      </c>
      <c r="C29" s="8" t="str">
        <f aca="false">HYPERLINK("#'Inputs'!C19","→ Inputs!C19")</f>
        <v>→ Inputs!C19</v>
      </c>
    </row>
    <row r="30" customFormat="false" ht="15" hidden="false" customHeight="false" outlineLevel="0" collapsed="false">
      <c r="A30" s="6" t="n">
        <v>4</v>
      </c>
      <c r="B30" s="7" t="s">
        <v>24</v>
      </c>
      <c r="C30" s="8" t="str">
        <f aca="false">HYPERLINK("#'Inputs'!C24","→ Inputs!C24")</f>
        <v>→ Inputs!C24</v>
      </c>
    </row>
    <row r="31" customFormat="false" ht="15" hidden="false" customHeight="false" outlineLevel="0" collapsed="false">
      <c r="A31" s="2"/>
      <c r="B31" s="2"/>
      <c r="C31" s="2"/>
    </row>
    <row r="32" customFormat="false" ht="15" hidden="false" customHeight="false" outlineLevel="0" collapsed="false">
      <c r="A32" s="4" t="s">
        <v>25</v>
      </c>
      <c r="B32" s="5"/>
      <c r="C32" s="5"/>
    </row>
    <row r="33" customFormat="false" ht="15" hidden="false" customHeight="false" outlineLevel="0" collapsed="false">
      <c r="A33" s="6" t="n">
        <v>1</v>
      </c>
      <c r="B33" s="7" t="s">
        <v>26</v>
      </c>
      <c r="C33" s="8" t="str">
        <f aca="false">HYPERLINK("#'Prices'!A1","→ Prices!A1")</f>
        <v>→ Prices!A1</v>
      </c>
    </row>
    <row r="34" customFormat="false" ht="15" hidden="false" customHeight="false" outlineLevel="0" collapsed="false">
      <c r="A34" s="6" t="n">
        <v>2</v>
      </c>
      <c r="B34" s="7" t="s">
        <v>27</v>
      </c>
      <c r="C34" s="2"/>
    </row>
    <row r="35" customFormat="false" ht="26.85" hidden="false" customHeight="false" outlineLevel="0" collapsed="false">
      <c r="A35" s="6" t="n">
        <v>3</v>
      </c>
      <c r="B35" s="7" t="s">
        <v>28</v>
      </c>
      <c r="C35" s="8" t="str">
        <f aca="false">HYPERLINK("#'Inputs'!C30","→ Inputs!C30")</f>
        <v>→ Inputs!C30</v>
      </c>
    </row>
    <row r="36" customFormat="false" ht="15" hidden="false" customHeight="false" outlineLevel="0" collapsed="false">
      <c r="A36" s="2"/>
      <c r="B36" s="2"/>
      <c r="C36" s="2"/>
    </row>
    <row r="37" customFormat="false" ht="15" hidden="false" customHeight="false" outlineLevel="0" collapsed="false">
      <c r="A37" s="4" t="s">
        <v>29</v>
      </c>
      <c r="B37" s="5"/>
      <c r="C37" s="5"/>
    </row>
    <row r="38" customFormat="false" ht="15" hidden="false" customHeight="false" outlineLevel="0" collapsed="false">
      <c r="A38" s="6" t="n">
        <v>1</v>
      </c>
      <c r="B38" s="7" t="s">
        <v>30</v>
      </c>
      <c r="C38" s="8" t="str">
        <f aca="false">HYPERLINK("#'Data Plan'!C7","→ Data Plan!C7")</f>
        <v>→ Data Plan!C7</v>
      </c>
    </row>
    <row r="39" customFormat="false" ht="15" hidden="false" customHeight="false" outlineLevel="0" collapsed="false">
      <c r="A39" s="6" t="n">
        <v>2</v>
      </c>
      <c r="B39" s="7" t="s">
        <v>31</v>
      </c>
      <c r="C39" s="8" t="str">
        <f aca="false">HYPERLINK("#'Data Plan'!C17","→ Data Plan!C17")</f>
        <v>→ Data Plan!C17</v>
      </c>
    </row>
    <row r="40" customFormat="false" ht="15" hidden="false" customHeight="false" outlineLevel="0" collapsed="false">
      <c r="A40" s="6" t="n">
        <v>3</v>
      </c>
      <c r="B40" s="7" t="s">
        <v>32</v>
      </c>
      <c r="C40" s="8" t="str">
        <f aca="false">HYPERLINK("#'Data Plan'!C10","→ Data Plan!C10")</f>
        <v>→ Data Plan!C10</v>
      </c>
    </row>
    <row r="41" customFormat="false" ht="26.85" hidden="false" customHeight="false" outlineLevel="0" collapsed="false">
      <c r="A41" s="6" t="n">
        <v>4</v>
      </c>
      <c r="B41" s="7" t="s">
        <v>33</v>
      </c>
      <c r="C41" s="8" t="str">
        <f aca="false">HYPERLINK("#'Data Plan'!C18","→ Data Plan!C18")</f>
        <v>→ Data Plan!C18</v>
      </c>
    </row>
    <row r="42" customFormat="false" ht="15" hidden="false" customHeight="false" outlineLevel="0" collapsed="false">
      <c r="A42" s="6" t="n">
        <v>5</v>
      </c>
      <c r="B42" s="7" t="s">
        <v>34</v>
      </c>
      <c r="C42" s="8" t="str">
        <f aca="false">HYPERLINK("#'Data Plan'!C35","→ Data Plan!C35")</f>
        <v>→ Data Plan!C35</v>
      </c>
    </row>
    <row r="43" customFormat="false" ht="15" hidden="false" customHeight="false" outlineLevel="0" collapsed="false">
      <c r="A43" s="6" t="n">
        <v>6</v>
      </c>
      <c r="B43" s="7" t="s">
        <v>35</v>
      </c>
      <c r="C43" s="8" t="str">
        <f aca="false">HYPERLINK("#'Data Plan'!C43","→ Data Plan!C43")</f>
        <v>→ Data Plan!C43</v>
      </c>
    </row>
    <row r="44" customFormat="false" ht="15" hidden="false" customHeight="false" outlineLevel="0" collapsed="false">
      <c r="A44" s="2"/>
      <c r="B44" s="2"/>
      <c r="C44" s="2"/>
    </row>
    <row r="45" customFormat="false" ht="15" hidden="false" customHeight="false" outlineLevel="0" collapsed="false">
      <c r="A45" s="4" t="s">
        <v>36</v>
      </c>
      <c r="B45" s="5"/>
      <c r="C45" s="5"/>
    </row>
    <row r="46" customFormat="false" ht="26.85" hidden="false" customHeight="false" outlineLevel="0" collapsed="false">
      <c r="A46" s="6" t="n">
        <v>1</v>
      </c>
      <c r="B46" s="7" t="s">
        <v>37</v>
      </c>
      <c r="C46" s="2"/>
    </row>
    <row r="47" customFormat="false" ht="26.85" hidden="false" customHeight="false" outlineLevel="0" collapsed="false">
      <c r="A47" s="6" t="n">
        <v>2</v>
      </c>
      <c r="B47" s="7" t="s">
        <v>38</v>
      </c>
      <c r="C47" s="2"/>
    </row>
    <row r="48" customFormat="false" ht="26.85" hidden="false" customHeight="false" outlineLevel="0" collapsed="false">
      <c r="A48" s="6" t="n">
        <v>3</v>
      </c>
      <c r="B48" s="7" t="s">
        <v>39</v>
      </c>
      <c r="C48" s="2"/>
    </row>
    <row r="49" customFormat="false" ht="26.85" hidden="false" customHeight="false" outlineLevel="0" collapsed="false">
      <c r="A49" s="6" t="n">
        <v>4</v>
      </c>
      <c r="B49" s="7" t="s">
        <v>40</v>
      </c>
      <c r="C49" s="2"/>
    </row>
    <row r="50" customFormat="false" ht="15" hidden="false" customHeight="false" outlineLevel="0" collapsed="false">
      <c r="A50" s="2"/>
      <c r="B50" s="2"/>
      <c r="C50" s="2"/>
    </row>
    <row r="51" customFormat="false" ht="15" hidden="false" customHeight="false" outlineLevel="0" collapsed="false">
      <c r="A51" s="4" t="s">
        <v>41</v>
      </c>
      <c r="B51" s="5"/>
      <c r="C51" s="5"/>
    </row>
    <row r="52" customFormat="false" ht="15" hidden="false" customHeight="false" outlineLevel="0" collapsed="false">
      <c r="A52" s="6" t="n">
        <v>1</v>
      </c>
      <c r="B52" s="7" t="s">
        <v>42</v>
      </c>
      <c r="C52" s="8" t="str">
        <f aca="false">HYPERLINK("#'Summary'!A1","→ Summary!A1")</f>
        <v>→ Summary!A1</v>
      </c>
    </row>
    <row r="53" customFormat="false" ht="26.85" hidden="false" customHeight="false" outlineLevel="0" collapsed="false">
      <c r="A53" s="6" t="n">
        <v>2</v>
      </c>
      <c r="B53" s="7" t="s">
        <v>43</v>
      </c>
      <c r="C53" s="8" t="str">
        <f aca="false">HYPERLINK("#'Calculation'!A1","→ Calculation!A1")</f>
        <v>→ Calculation!A1</v>
      </c>
    </row>
    <row r="54" customFormat="false" ht="15" hidden="false" customHeight="false" outlineLevel="0" collapsed="false">
      <c r="A54" s="6" t="n">
        <v>3</v>
      </c>
      <c r="B54" s="7" t="s">
        <v>44</v>
      </c>
      <c r="C54" s="2"/>
    </row>
    <row r="55" customFormat="false" ht="15" hidden="false" customHeight="false" outlineLevel="0" collapsed="false">
      <c r="A55" s="2"/>
      <c r="B55" s="2"/>
      <c r="C55" s="2"/>
    </row>
    <row r="56" customFormat="false" ht="15" hidden="false" customHeight="false" outlineLevel="0" collapsed="false">
      <c r="A56" s="4" t="s">
        <v>45</v>
      </c>
      <c r="B56" s="5"/>
      <c r="C56" s="5"/>
    </row>
    <row r="57" customFormat="false" ht="26.85" hidden="false" customHeight="false" outlineLevel="0" collapsed="false">
      <c r="A57" s="6" t="n">
        <v>1</v>
      </c>
      <c r="B57" s="7" t="s">
        <v>46</v>
      </c>
      <c r="C57" s="2"/>
    </row>
    <row r="58" customFormat="false" ht="26.85" hidden="false" customHeight="false" outlineLevel="0" collapsed="false">
      <c r="A58" s="6" t="n">
        <v>2</v>
      </c>
      <c r="B58" s="7" t="s">
        <v>47</v>
      </c>
      <c r="C58" s="2"/>
    </row>
    <row r="59" customFormat="false" ht="15" hidden="false" customHeight="false" outlineLevel="0" collapsed="false">
      <c r="A59" s="6" t="n">
        <v>3</v>
      </c>
      <c r="B59" s="7" t="s">
        <v>48</v>
      </c>
      <c r="C5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49</v>
      </c>
      <c r="B1" s="2"/>
      <c r="C1" s="2"/>
      <c r="D1" s="2"/>
    </row>
    <row r="2" customFormat="false" ht="15" hidden="false" customHeight="false" outlineLevel="0" collapsed="false">
      <c r="A2" s="3" t="s">
        <v>50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51</v>
      </c>
      <c r="B4" s="5"/>
      <c r="C4" s="5"/>
      <c r="D4" s="5"/>
    </row>
    <row r="5" customFormat="false" ht="15" hidden="false" customHeight="false" outlineLevel="0" collapsed="false">
      <c r="A5" s="9" t="s">
        <v>52</v>
      </c>
      <c r="B5" s="10" t="n">
        <f aca="false">active_sensors</f>
        <v>15</v>
      </c>
      <c r="C5" s="2"/>
      <c r="D5" s="3" t="s">
        <v>53</v>
      </c>
    </row>
    <row r="6" customFormat="false" ht="15" hidden="false" customHeight="false" outlineLevel="0" collapsed="false">
      <c r="A6" s="9" t="s">
        <v>54</v>
      </c>
      <c r="B6" s="10" t="n">
        <f aca="false">poll_s</f>
        <v>20</v>
      </c>
      <c r="C6" s="2"/>
      <c r="D6" s="3" t="s">
        <v>55</v>
      </c>
    </row>
    <row r="7" customFormat="false" ht="15" hidden="false" customHeight="false" outlineLevel="0" collapsed="false">
      <c r="A7" s="9" t="s">
        <v>56</v>
      </c>
      <c r="B7" s="10" t="n">
        <f aca="false">sys_s</f>
        <v>60</v>
      </c>
      <c r="C7" s="2"/>
      <c r="D7" s="3" t="s">
        <v>55</v>
      </c>
    </row>
    <row r="8" customFormat="false" ht="15" hidden="false" customHeight="false" outlineLevel="0" collapsed="false">
      <c r="A8" s="9" t="s">
        <v>57</v>
      </c>
      <c r="B8" s="10" t="n">
        <f aca="false">sites</f>
        <v>1</v>
      </c>
      <c r="C8" s="2"/>
      <c r="D8" s="3" t="s">
        <v>55</v>
      </c>
    </row>
    <row r="9" customFormat="false" ht="15" hidden="false" customHeight="false" outlineLevel="0" collapsed="false">
      <c r="A9" s="4" t="s">
        <v>58</v>
      </c>
      <c r="B9" s="5"/>
      <c r="C9" s="5"/>
      <c r="D9" s="5"/>
    </row>
    <row r="10" customFormat="false" ht="15" hidden="false" customHeight="false" outlineLevel="0" collapsed="false">
      <c r="A10" s="9" t="s">
        <v>59</v>
      </c>
      <c r="B10" s="10" t="n">
        <f aca="false">data_payload_b</f>
        <v>1236</v>
      </c>
      <c r="C10" s="2"/>
      <c r="D10" s="3" t="s">
        <v>60</v>
      </c>
    </row>
    <row r="11" customFormat="false" ht="15" hidden="false" customHeight="false" outlineLevel="0" collapsed="false">
      <c r="A11" s="9" t="s">
        <v>61</v>
      </c>
      <c r="B11" s="10" t="n">
        <f aca="false">msgs_month</f>
        <v>175200</v>
      </c>
      <c r="C11" s="2"/>
      <c r="D11" s="3" t="s">
        <v>62</v>
      </c>
    </row>
    <row r="12" customFormat="false" ht="15" hidden="false" customHeight="false" outlineLevel="0" collapsed="false">
      <c r="A12" s="9" t="s">
        <v>63</v>
      </c>
      <c r="B12" s="11" t="n">
        <f aca="false">payload_month_mb</f>
        <v>176.4264</v>
      </c>
      <c r="C12" s="2"/>
      <c r="D12" s="3" t="s">
        <v>64</v>
      </c>
    </row>
    <row r="13" customFormat="false" ht="15" hidden="false" customHeight="false" outlineLevel="0" collapsed="false">
      <c r="A13" s="9" t="s">
        <v>65</v>
      </c>
      <c r="B13" s="11" t="n">
        <f aca="false">wire_month_mb</f>
        <v>217.3356</v>
      </c>
      <c r="C13" s="2"/>
      <c r="D13" s="3" t="s">
        <v>66</v>
      </c>
    </row>
    <row r="14" customFormat="false" ht="15" hidden="false" customHeight="false" outlineLevel="0" collapsed="false">
      <c r="A14" s="9" t="s">
        <v>67</v>
      </c>
      <c r="B14" s="12" t="n">
        <f aca="false">raw_gb_month</f>
        <v>0.171815603971481</v>
      </c>
      <c r="C14" s="2"/>
      <c r="D14" s="3"/>
    </row>
    <row r="15" customFormat="false" ht="15" hidden="false" customHeight="false" outlineLevel="0" collapsed="false">
      <c r="A15" s="4" t="s">
        <v>68</v>
      </c>
      <c r="B15" s="5"/>
      <c r="C15" s="5"/>
      <c r="D15" s="5"/>
    </row>
    <row r="16" customFormat="false" ht="15" hidden="false" customHeight="false" outlineLevel="0" collapsed="false">
      <c r="A16" s="9" t="s">
        <v>69</v>
      </c>
      <c r="B16" s="11" t="n">
        <f aca="false">dp_required_mb</f>
        <v>339.473866333333</v>
      </c>
      <c r="C16" s="2"/>
      <c r="D16" s="3" t="s">
        <v>70</v>
      </c>
    </row>
    <row r="17" customFormat="false" ht="15" hidden="false" customHeight="false" outlineLevel="0" collapsed="false">
      <c r="A17" s="9" t="s">
        <v>71</v>
      </c>
      <c r="B17" s="13" t="str">
        <f aca="false">dp_plan</f>
        <v>500 MB</v>
      </c>
      <c r="C17" s="2"/>
      <c r="D17" s="3" t="s">
        <v>72</v>
      </c>
    </row>
    <row r="18" customFormat="false" ht="15" hidden="false" customHeight="false" outlineLevel="0" collapsed="false">
      <c r="A18" s="4" t="s">
        <v>73</v>
      </c>
      <c r="B18" s="5"/>
      <c r="C18" s="5"/>
      <c r="D18" s="5"/>
    </row>
    <row r="19" customFormat="false" ht="15" hidden="false" customHeight="false" outlineLevel="0" collapsed="false">
      <c r="A19" s="9" t="s">
        <v>74</v>
      </c>
      <c r="B19" s="14" t="n">
        <f aca="false">cost_site_month</f>
        <v>3.47170193690538</v>
      </c>
      <c r="C19" s="2"/>
      <c r="D19" s="3" t="s">
        <v>75</v>
      </c>
    </row>
    <row r="20" customFormat="false" ht="15" hidden="false" customHeight="false" outlineLevel="0" collapsed="false">
      <c r="A20" s="9" t="s">
        <v>76</v>
      </c>
      <c r="B20" s="15" t="n">
        <f aca="false">cost_site_month*sites</f>
        <v>3.47170193690538</v>
      </c>
      <c r="C20" s="2"/>
      <c r="D20" s="3"/>
    </row>
    <row r="21" customFormat="false" ht="15" hidden="false" customHeight="false" outlineLevel="0" collapsed="false">
      <c r="A21" s="9" t="s">
        <v>77</v>
      </c>
      <c r="B21" s="15" t="n">
        <f aca="false">cost_site_month*sites*12</f>
        <v>41.6604232428646</v>
      </c>
      <c r="C21" s="2"/>
      <c r="D21" s="3" t="s">
        <v>78</v>
      </c>
    </row>
    <row r="22" customFormat="false" ht="15" hidden="false" customHeight="false" outlineLevel="0" collapsed="false">
      <c r="A22" s="9" t="s">
        <v>79</v>
      </c>
      <c r="B22" s="16" t="n">
        <f aca="false">IFERROR(cost_site_month/active_sensors,0)</f>
        <v>0.231446795793692</v>
      </c>
      <c r="C22" s="2"/>
      <c r="D22" s="3" t="s">
        <v>80</v>
      </c>
    </row>
    <row r="23" customFormat="false" ht="15" hidden="false" customHeight="false" outlineLevel="0" collapsed="false">
      <c r="A23" s="2"/>
      <c r="B23" s="2"/>
      <c r="C23" s="2"/>
      <c r="D23" s="2"/>
    </row>
    <row r="24" customFormat="false" ht="15" hidden="false" customHeight="false" outlineLevel="0" collapsed="false">
      <c r="A24" s="4" t="s">
        <v>81</v>
      </c>
      <c r="B24" s="5"/>
      <c r="C24" s="5"/>
      <c r="D24" s="5"/>
    </row>
    <row r="25" customFormat="false" ht="15" hidden="false" customHeight="false" outlineLevel="0" collapsed="false">
      <c r="A25" s="17" t="s">
        <v>82</v>
      </c>
      <c r="B25" s="17" t="s">
        <v>83</v>
      </c>
      <c r="C25" s="17" t="s">
        <v>84</v>
      </c>
      <c r="D25" s="2"/>
    </row>
    <row r="26" customFormat="false" ht="15" hidden="false" customHeight="false" outlineLevel="0" collapsed="false">
      <c r="A26" s="9" t="s">
        <v>85</v>
      </c>
      <c r="B26" s="16" t="n">
        <f aca="false">SUMIF(Calculation!$A$72:$A$97,A26,Calculation!$H$72:$H$97)</f>
        <v>0.257544</v>
      </c>
      <c r="C26" s="18" t="n">
        <f aca="false">IFERROR(B26/cost_site_month,0)</f>
        <v>0.0741837878598445</v>
      </c>
      <c r="D26" s="2"/>
    </row>
    <row r="27" customFormat="false" ht="15" hidden="false" customHeight="false" outlineLevel="0" collapsed="false">
      <c r="A27" s="9" t="s">
        <v>86</v>
      </c>
      <c r="B27" s="16" t="n">
        <f aca="false">SUMIF(Calculation!$A$72:$A$97,A27,Calculation!$H$72:$H$97)</f>
        <v>0.0242271423339844</v>
      </c>
      <c r="C27" s="18" t="n">
        <f aca="false">IFERROR(B27/cost_site_month,0)</f>
        <v>0.00697846266018449</v>
      </c>
      <c r="D27" s="2"/>
    </row>
    <row r="28" customFormat="false" ht="15" hidden="false" customHeight="false" outlineLevel="0" collapsed="false">
      <c r="A28" s="9" t="s">
        <v>87</v>
      </c>
      <c r="B28" s="16" t="n">
        <f aca="false">SUMIF(Calculation!$A$72:$A$97,A28,Calculation!$H$72:$H$97)</f>
        <v>2.2417576171128</v>
      </c>
      <c r="C28" s="18" t="n">
        <f aca="false">IFERROR(B28/cost_site_month,0)</f>
        <v>0.645722950257378</v>
      </c>
      <c r="D28" s="2"/>
    </row>
    <row r="29" customFormat="false" ht="15" hidden="false" customHeight="false" outlineLevel="0" collapsed="false">
      <c r="A29" s="9" t="s">
        <v>88</v>
      </c>
      <c r="B29" s="16" t="n">
        <f aca="false">SUMIF(Calculation!$A$72:$A$97,A29,Calculation!$H$72:$H$97)</f>
        <v>0.0342856287412966</v>
      </c>
      <c r="C29" s="18" t="n">
        <f aca="false">IFERROR(B29/cost_site_month,0)</f>
        <v>0.00987574087994959</v>
      </c>
      <c r="D29" s="2"/>
    </row>
    <row r="30" customFormat="false" ht="15" hidden="false" customHeight="false" outlineLevel="0" collapsed="false">
      <c r="A30" s="9" t="s">
        <v>89</v>
      </c>
      <c r="B30" s="16" t="n">
        <f aca="false">SUMIF(Calculation!$A$72:$A$97,A30,Calculation!$H$72:$H$97)</f>
        <v>0.00262133333333333</v>
      </c>
      <c r="C30" s="18" t="n">
        <f aca="false">IFERROR(B30/cost_site_month,0)</f>
        <v>0.000755057139401186</v>
      </c>
      <c r="D30" s="2"/>
    </row>
    <row r="31" customFormat="false" ht="15" hidden="false" customHeight="false" outlineLevel="0" collapsed="false">
      <c r="A31" s="9" t="s">
        <v>90</v>
      </c>
      <c r="B31" s="16" t="n">
        <f aca="false">SUMIF(Calculation!$A$72:$A$97,A31,Calculation!$H$72:$H$97)</f>
        <v>0.174762574171667</v>
      </c>
      <c r="C31" s="18" t="n">
        <f aca="false">IFERROR(B31/cost_site_month,0)</f>
        <v>0.0503391642911163</v>
      </c>
      <c r="D31" s="2"/>
    </row>
    <row r="32" customFormat="false" ht="15" hidden="false" customHeight="false" outlineLevel="0" collapsed="false">
      <c r="A32" s="9" t="s">
        <v>91</v>
      </c>
      <c r="B32" s="16" t="n">
        <f aca="false">SUMIF(Calculation!$A$72:$A$97,A32,Calculation!$H$72:$H$97)</f>
        <v>0.620911083333333</v>
      </c>
      <c r="C32" s="18" t="n">
        <f aca="false">IFERROR(B32/cost_site_month,0)</f>
        <v>0.178849191151128</v>
      </c>
      <c r="D32" s="2"/>
    </row>
    <row r="33" customFormat="false" ht="15" hidden="false" customHeight="false" outlineLevel="0" collapsed="false">
      <c r="A33" s="9" t="s">
        <v>92</v>
      </c>
      <c r="B33" s="16" t="n">
        <f aca="false">SUMIF(Calculation!$A$72:$A$97,A33,Calculation!$H$72:$H$97)</f>
        <v>0.0113340416666667</v>
      </c>
      <c r="C33" s="18" t="n">
        <f aca="false">IFERROR(B33/cost_site_month,0)</f>
        <v>0.00326469318871586</v>
      </c>
      <c r="D33" s="2"/>
    </row>
    <row r="34" customFormat="false" ht="15" hidden="false" customHeight="false" outlineLevel="0" collapsed="false">
      <c r="A34" s="9" t="s">
        <v>93</v>
      </c>
      <c r="B34" s="16" t="n">
        <f aca="false">SUMIF(Calculation!$A$72:$A$97,A34,Calculation!$H$72:$H$97)</f>
        <v>0.00572135337193807</v>
      </c>
      <c r="C34" s="18" t="n">
        <f aca="false">IFERROR(B34/cost_site_month,0)</f>
        <v>0.00164799671052348</v>
      </c>
      <c r="D34" s="2"/>
    </row>
    <row r="35" customFormat="false" ht="15" hidden="false" customHeight="false" outlineLevel="0" collapsed="false">
      <c r="A35" s="9" t="s">
        <v>94</v>
      </c>
      <c r="B35" s="16" t="n">
        <f aca="false">SUMIF(Calculation!$A$72:$A$97,A35,Calculation!$H$72:$H$97)</f>
        <v>0.025782622396946</v>
      </c>
      <c r="C35" s="18" t="n">
        <f aca="false">IFERROR(B35/cost_site_month,0)</f>
        <v>0.00742650805441212</v>
      </c>
      <c r="D35" s="2"/>
    </row>
    <row r="36" customFormat="false" ht="15" hidden="false" customHeight="false" outlineLevel="0" collapsed="false">
      <c r="A36" s="9" t="s">
        <v>95</v>
      </c>
      <c r="B36" s="16" t="n">
        <f aca="false">SUMIF(Calculation!$A$72:$A$97,A36,Calculation!$H$72:$H$97)</f>
        <v>0.0727545404434204</v>
      </c>
      <c r="C36" s="18" t="n">
        <f aca="false">IFERROR(B36/cost_site_month,0)</f>
        <v>0.0209564478073462</v>
      </c>
      <c r="D36" s="2"/>
    </row>
    <row r="37" customFormat="false" ht="15" hidden="false" customHeight="false" outlineLevel="0" collapsed="false">
      <c r="A37" s="9" t="s">
        <v>96</v>
      </c>
      <c r="B37" s="16" t="n">
        <f aca="false">SUMIF(Calculation!$A$72:$A$97,A37,Calculation!$H$72:$H$97)</f>
        <v>0</v>
      </c>
      <c r="C37" s="18" t="n">
        <f aca="false">IFERROR(B37/cost_site_month,0)</f>
        <v>0</v>
      </c>
      <c r="D37" s="2"/>
    </row>
    <row r="38" customFormat="false" ht="15" hidden="false" customHeight="false" outlineLevel="0" collapsed="false">
      <c r="A38" s="9" t="s">
        <v>97</v>
      </c>
      <c r="B38" s="16" t="n">
        <f aca="false">SUMIF(Calculation!$A$72:$A$97,A38,Calculation!$H$72:$H$97)</f>
        <v>0</v>
      </c>
      <c r="C38" s="18" t="n">
        <f aca="false">IFERROR(B38/cost_site_month,0)</f>
        <v>0</v>
      </c>
      <c r="D38" s="2"/>
    </row>
    <row r="39" customFormat="false" ht="15" hidden="false" customHeight="false" outlineLevel="0" collapsed="false">
      <c r="A39" s="19" t="s">
        <v>98</v>
      </c>
      <c r="B39" s="20" t="n">
        <f aca="false">SUM(B26:B38)</f>
        <v>3.47170193690538</v>
      </c>
      <c r="C39" s="2"/>
      <c r="D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99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100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101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30" hidden="false" customHeight="true" outlineLevel="0" collapsed="false">
      <c r="A5" s="21" t="s">
        <v>102</v>
      </c>
      <c r="B5" s="21" t="s">
        <v>103</v>
      </c>
      <c r="C5" s="21" t="s">
        <v>104</v>
      </c>
      <c r="D5" s="21" t="s">
        <v>105</v>
      </c>
      <c r="E5" s="21" t="s">
        <v>106</v>
      </c>
      <c r="F5" s="21" t="s">
        <v>107</v>
      </c>
    </row>
    <row r="6" customFormat="false" ht="15" hidden="false" customHeight="false" outlineLevel="0" collapsed="false">
      <c r="A6" s="3" t="n">
        <v>1</v>
      </c>
      <c r="B6" s="22" t="s">
        <v>108</v>
      </c>
      <c r="C6" s="22" t="s">
        <v>109</v>
      </c>
      <c r="D6" s="22" t="n">
        <v>1</v>
      </c>
      <c r="E6" s="23" t="n">
        <f aca="false">IF(AND(D6=1,C6&lt;&gt;""),LEN(C6)+sensor_over_b,0)</f>
        <v>66</v>
      </c>
      <c r="F6" s="23" t="n">
        <f aca="false">IF(AND(E6&gt;0,COUNTIFS(B$6:B6,B6,D$6:D6,1,C$6:C6,"&lt;&gt;")=1),LEN(B6)+device_over_b,0)</f>
        <v>13</v>
      </c>
    </row>
    <row r="7" customFormat="false" ht="15" hidden="false" customHeight="false" outlineLevel="0" collapsed="false">
      <c r="A7" s="3" t="n">
        <v>2</v>
      </c>
      <c r="B7" s="22" t="s">
        <v>110</v>
      </c>
      <c r="C7" s="22" t="s">
        <v>111</v>
      </c>
      <c r="D7" s="22" t="n">
        <v>1</v>
      </c>
      <c r="E7" s="23" t="n">
        <f aca="false">IF(AND(D7=1,C7&lt;&gt;""),LEN(C7)+sensor_over_b,0)</f>
        <v>62</v>
      </c>
      <c r="F7" s="23" t="n">
        <f aca="false">IF(AND(E7&gt;0,COUNTIFS(B$6:B7,B7,D$6:D7,1,C$6:C7,"&lt;&gt;")=1),LEN(B7)+device_over_b,0)</f>
        <v>13</v>
      </c>
    </row>
    <row r="8" customFormat="false" ht="15" hidden="false" customHeight="false" outlineLevel="0" collapsed="false">
      <c r="A8" s="3" t="n">
        <v>3</v>
      </c>
      <c r="B8" s="22" t="s">
        <v>112</v>
      </c>
      <c r="C8" s="22" t="s">
        <v>113</v>
      </c>
      <c r="D8" s="22" t="n">
        <v>1</v>
      </c>
      <c r="E8" s="23" t="n">
        <f aca="false">IF(AND(D8=1,C8&lt;&gt;""),LEN(C8)+sensor_over_b,0)</f>
        <v>62</v>
      </c>
      <c r="F8" s="23" t="n">
        <f aca="false">IF(AND(E8&gt;0,COUNTIFS(B$6:B8,B8,D$6:D8,1,C$6:C8,"&lt;&gt;")=1),LEN(B8)+device_over_b,0)</f>
        <v>13</v>
      </c>
    </row>
    <row r="9" customFormat="false" ht="15" hidden="false" customHeight="false" outlineLevel="0" collapsed="false">
      <c r="A9" s="3" t="n">
        <v>4</v>
      </c>
      <c r="B9" s="22" t="s">
        <v>114</v>
      </c>
      <c r="C9" s="22" t="s">
        <v>115</v>
      </c>
      <c r="D9" s="22" t="n">
        <v>1</v>
      </c>
      <c r="E9" s="23" t="n">
        <f aca="false">IF(AND(D9=1,C9&lt;&gt;""),LEN(C9)+sensor_over_b,0)</f>
        <v>64</v>
      </c>
      <c r="F9" s="23" t="n">
        <f aca="false">IF(AND(E9&gt;0,COUNTIFS(B$6:B9,B9,D$6:D9,1,C$6:C9,"&lt;&gt;")=1),LEN(B9)+device_over_b,0)</f>
        <v>13</v>
      </c>
    </row>
    <row r="10" customFormat="false" ht="15" hidden="false" customHeight="false" outlineLevel="0" collapsed="false">
      <c r="A10" s="3" t="n">
        <v>5</v>
      </c>
      <c r="B10" s="22" t="s">
        <v>116</v>
      </c>
      <c r="C10" s="22" t="s">
        <v>117</v>
      </c>
      <c r="D10" s="22" t="n">
        <v>1</v>
      </c>
      <c r="E10" s="23" t="n">
        <f aca="false">IF(AND(D10=1,C10&lt;&gt;""),LEN(C10)+sensor_over_b,0)</f>
        <v>63</v>
      </c>
      <c r="F10" s="23" t="n">
        <f aca="false">IF(AND(E10&gt;0,COUNTIFS(B$6:B10,B10,D$6:D10,1,C$6:C10,"&lt;&gt;")=1),LEN(B10)+device_over_b,0)</f>
        <v>13</v>
      </c>
    </row>
    <row r="11" customFormat="false" ht="15" hidden="false" customHeight="false" outlineLevel="0" collapsed="false">
      <c r="A11" s="3" t="n">
        <v>6</v>
      </c>
      <c r="B11" s="22" t="s">
        <v>118</v>
      </c>
      <c r="C11" s="22" t="s">
        <v>119</v>
      </c>
      <c r="D11" s="22" t="n">
        <v>1</v>
      </c>
      <c r="E11" s="23" t="n">
        <f aca="false">IF(AND(D11=1,C11&lt;&gt;""),LEN(C11)+sensor_over_b,0)</f>
        <v>67</v>
      </c>
      <c r="F11" s="23" t="n">
        <f aca="false">IF(AND(E11&gt;0,COUNTIFS(B$6:B11,B11,D$6:D11,1,C$6:C11,"&lt;&gt;")=1),LEN(B11)+device_over_b,0)</f>
        <v>13</v>
      </c>
    </row>
    <row r="12" customFormat="false" ht="15" hidden="false" customHeight="false" outlineLevel="0" collapsed="false">
      <c r="A12" s="3" t="n">
        <v>7</v>
      </c>
      <c r="B12" s="22" t="s">
        <v>120</v>
      </c>
      <c r="C12" s="22" t="s">
        <v>121</v>
      </c>
      <c r="D12" s="22" t="n">
        <v>1</v>
      </c>
      <c r="E12" s="23" t="n">
        <f aca="false">IF(AND(D12=1,C12&lt;&gt;""),LEN(C12)+sensor_over_b,0)</f>
        <v>63</v>
      </c>
      <c r="F12" s="23" t="n">
        <f aca="false">IF(AND(E12&gt;0,COUNTIFS(B$6:B12,B12,D$6:D12,1,C$6:C12,"&lt;&gt;")=1),LEN(B12)+device_over_b,0)</f>
        <v>13</v>
      </c>
    </row>
    <row r="13" customFormat="false" ht="15" hidden="false" customHeight="false" outlineLevel="0" collapsed="false">
      <c r="A13" s="3" t="n">
        <v>8</v>
      </c>
      <c r="B13" s="22" t="s">
        <v>122</v>
      </c>
      <c r="C13" s="22" t="s">
        <v>123</v>
      </c>
      <c r="D13" s="22" t="n">
        <v>1</v>
      </c>
      <c r="E13" s="23" t="n">
        <f aca="false">IF(AND(D13=1,C13&lt;&gt;""),LEN(C13)+sensor_over_b,0)</f>
        <v>64</v>
      </c>
      <c r="F13" s="23" t="n">
        <f aca="false">IF(AND(E13&gt;0,COUNTIFS(B$6:B13,B13,D$6:D13,1,C$6:C13,"&lt;&gt;")=1),LEN(B13)+device_over_b,0)</f>
        <v>13</v>
      </c>
    </row>
    <row r="14" customFormat="false" ht="15" hidden="false" customHeight="false" outlineLevel="0" collapsed="false">
      <c r="A14" s="3" t="n">
        <v>9</v>
      </c>
      <c r="B14" s="22" t="s">
        <v>124</v>
      </c>
      <c r="C14" s="22" t="s">
        <v>125</v>
      </c>
      <c r="D14" s="22" t="n">
        <v>1</v>
      </c>
      <c r="E14" s="23" t="n">
        <f aca="false">IF(AND(D14=1,C14&lt;&gt;""),LEN(C14)+sensor_over_b,0)</f>
        <v>68</v>
      </c>
      <c r="F14" s="23" t="n">
        <f aca="false">IF(AND(E14&gt;0,COUNTIFS(B$6:B14,B14,D$6:D14,1,C$6:C14,"&lt;&gt;")=1),LEN(B14)+device_over_b,0)</f>
        <v>13</v>
      </c>
    </row>
    <row r="15" customFormat="false" ht="15" hidden="false" customHeight="false" outlineLevel="0" collapsed="false">
      <c r="A15" s="3" t="n">
        <v>10</v>
      </c>
      <c r="B15" s="22" t="s">
        <v>126</v>
      </c>
      <c r="C15" s="22" t="s">
        <v>127</v>
      </c>
      <c r="D15" s="22" t="n">
        <v>1</v>
      </c>
      <c r="E15" s="23" t="n">
        <f aca="false">IF(AND(D15=1,C15&lt;&gt;""),LEN(C15)+sensor_over_b,0)</f>
        <v>69</v>
      </c>
      <c r="F15" s="23" t="n">
        <f aca="false">IF(AND(E15&gt;0,COUNTIFS(B$6:B15,B15,D$6:D15,1,C$6:C15,"&lt;&gt;")=1),LEN(B15)+device_over_b,0)</f>
        <v>14</v>
      </c>
    </row>
    <row r="16" customFormat="false" ht="15" hidden="false" customHeight="false" outlineLevel="0" collapsed="false">
      <c r="A16" s="3" t="n">
        <v>11</v>
      </c>
      <c r="B16" s="22" t="s">
        <v>128</v>
      </c>
      <c r="C16" s="22" t="s">
        <v>129</v>
      </c>
      <c r="D16" s="22" t="n">
        <v>1</v>
      </c>
      <c r="E16" s="23" t="n">
        <f aca="false">IF(AND(D16=1,C16&lt;&gt;""),LEN(C16)+sensor_over_b,0)</f>
        <v>64</v>
      </c>
      <c r="F16" s="23" t="n">
        <f aca="false">IF(AND(E16&gt;0,COUNTIFS(B$6:B16,B16,D$6:D16,1,C$6:C16,"&lt;&gt;")=1),LEN(B16)+device_over_b,0)</f>
        <v>14</v>
      </c>
    </row>
    <row r="17" customFormat="false" ht="15" hidden="false" customHeight="false" outlineLevel="0" collapsed="false">
      <c r="A17" s="3" t="n">
        <v>12</v>
      </c>
      <c r="B17" s="22" t="s">
        <v>130</v>
      </c>
      <c r="C17" s="22" t="s">
        <v>131</v>
      </c>
      <c r="D17" s="22" t="n">
        <v>1</v>
      </c>
      <c r="E17" s="23" t="n">
        <f aca="false">IF(AND(D17=1,C17&lt;&gt;""),LEN(C17)+sensor_over_b,0)</f>
        <v>64</v>
      </c>
      <c r="F17" s="23" t="n">
        <f aca="false">IF(AND(E17&gt;0,COUNTIFS(B$6:B17,B17,D$6:D17,1,C$6:C17,"&lt;&gt;")=1),LEN(B17)+device_over_b,0)</f>
        <v>14</v>
      </c>
    </row>
    <row r="18" customFormat="false" ht="15" hidden="false" customHeight="false" outlineLevel="0" collapsed="false">
      <c r="A18" s="3" t="n">
        <v>13</v>
      </c>
      <c r="B18" s="22" t="s">
        <v>132</v>
      </c>
      <c r="C18" s="22" t="s">
        <v>133</v>
      </c>
      <c r="D18" s="22" t="n">
        <v>1</v>
      </c>
      <c r="E18" s="23" t="n">
        <f aca="false">IF(AND(D18=1,C18&lt;&gt;""),LEN(C18)+sensor_over_b,0)</f>
        <v>65</v>
      </c>
      <c r="F18" s="23" t="n">
        <f aca="false">IF(AND(E18&gt;0,COUNTIFS(B$6:B18,B18,D$6:D18,1,C$6:C18,"&lt;&gt;")=1),LEN(B18)+device_over_b,0)</f>
        <v>14</v>
      </c>
    </row>
    <row r="19" customFormat="false" ht="15" hidden="false" customHeight="false" outlineLevel="0" collapsed="false">
      <c r="A19" s="3" t="n">
        <v>14</v>
      </c>
      <c r="B19" s="22" t="s">
        <v>134</v>
      </c>
      <c r="C19" s="22" t="s">
        <v>135</v>
      </c>
      <c r="D19" s="22" t="n">
        <v>1</v>
      </c>
      <c r="E19" s="23" t="n">
        <f aca="false">IF(AND(D19=1,C19&lt;&gt;""),LEN(C19)+sensor_over_b,0)</f>
        <v>69</v>
      </c>
      <c r="F19" s="23" t="n">
        <f aca="false">IF(AND(E19&gt;0,COUNTIFS(B$6:B19,B19,D$6:D19,1,C$6:C19,"&lt;&gt;")=1),LEN(B19)+device_over_b,0)</f>
        <v>14</v>
      </c>
    </row>
    <row r="20" customFormat="false" ht="15" hidden="false" customHeight="false" outlineLevel="0" collapsed="false">
      <c r="A20" s="3" t="n">
        <v>15</v>
      </c>
      <c r="B20" s="22" t="s">
        <v>136</v>
      </c>
      <c r="C20" s="22" t="s">
        <v>137</v>
      </c>
      <c r="D20" s="22" t="n">
        <v>1</v>
      </c>
      <c r="E20" s="23" t="n">
        <f aca="false">IF(AND(D20=1,C20&lt;&gt;""),LEN(C20)+sensor_over_b,0)</f>
        <v>68</v>
      </c>
      <c r="F20" s="23" t="n">
        <f aca="false">IF(AND(E20&gt;0,COUNTIFS(B$6:B20,B20,D$6:D20,1,C$6:C20,"&lt;&gt;")=1),LEN(B20)+device_over_b,0)</f>
        <v>14</v>
      </c>
    </row>
    <row r="21" customFormat="false" ht="15" hidden="false" customHeight="false" outlineLevel="0" collapsed="false">
      <c r="A21" s="3" t="n">
        <v>16</v>
      </c>
      <c r="B21" s="22"/>
      <c r="C21" s="22"/>
      <c r="D21" s="22"/>
      <c r="E21" s="23" t="n">
        <f aca="false">IF(AND(D21=1,C21&lt;&gt;""),LEN(C21)+sensor_over_b,0)</f>
        <v>0</v>
      </c>
      <c r="F21" s="23" t="n">
        <f aca="false">IF(AND(E21&gt;0,COUNTIFS(B$6:B21,B21,D$6:D21,1,C$6:C21,"&lt;&gt;")=1),LEN(B21)+device_over_b,0)</f>
        <v>0</v>
      </c>
    </row>
    <row r="22" customFormat="false" ht="15" hidden="false" customHeight="false" outlineLevel="0" collapsed="false">
      <c r="A22" s="3" t="n">
        <v>17</v>
      </c>
      <c r="B22" s="22"/>
      <c r="C22" s="22"/>
      <c r="D22" s="22"/>
      <c r="E22" s="23" t="n">
        <f aca="false">IF(AND(D22=1,C22&lt;&gt;""),LEN(C22)+sensor_over_b,0)</f>
        <v>0</v>
      </c>
      <c r="F22" s="23" t="n">
        <f aca="false">IF(AND(E22&gt;0,COUNTIFS(B$6:B22,B22,D$6:D22,1,C$6:C22,"&lt;&gt;")=1),LEN(B22)+device_over_b,0)</f>
        <v>0</v>
      </c>
    </row>
    <row r="23" customFormat="false" ht="15" hidden="false" customHeight="false" outlineLevel="0" collapsed="false">
      <c r="A23" s="3" t="n">
        <v>18</v>
      </c>
      <c r="B23" s="22"/>
      <c r="C23" s="22"/>
      <c r="D23" s="22"/>
      <c r="E23" s="23" t="n">
        <f aca="false">IF(AND(D23=1,C23&lt;&gt;""),LEN(C23)+sensor_over_b,0)</f>
        <v>0</v>
      </c>
      <c r="F23" s="23" t="n">
        <f aca="false">IF(AND(E23&gt;0,COUNTIFS(B$6:B23,B23,D$6:D23,1,C$6:C23,"&lt;&gt;")=1),LEN(B23)+device_over_b,0)</f>
        <v>0</v>
      </c>
    </row>
    <row r="24" customFormat="false" ht="15" hidden="false" customHeight="false" outlineLevel="0" collapsed="false">
      <c r="A24" s="3" t="n">
        <v>19</v>
      </c>
      <c r="B24" s="22"/>
      <c r="C24" s="22"/>
      <c r="D24" s="22"/>
      <c r="E24" s="23" t="n">
        <f aca="false">IF(AND(D24=1,C24&lt;&gt;""),LEN(C24)+sensor_over_b,0)</f>
        <v>0</v>
      </c>
      <c r="F24" s="23" t="n">
        <f aca="false">IF(AND(E24&gt;0,COUNTIFS(B$6:B24,B24,D$6:D24,1,C$6:C24,"&lt;&gt;")=1),LEN(B24)+device_over_b,0)</f>
        <v>0</v>
      </c>
    </row>
    <row r="25" customFormat="false" ht="15" hidden="false" customHeight="false" outlineLevel="0" collapsed="false">
      <c r="A25" s="3" t="n">
        <v>20</v>
      </c>
      <c r="B25" s="22"/>
      <c r="C25" s="22"/>
      <c r="D25" s="22"/>
      <c r="E25" s="23" t="n">
        <f aca="false">IF(AND(D25=1,C25&lt;&gt;""),LEN(C25)+sensor_over_b,0)</f>
        <v>0</v>
      </c>
      <c r="F25" s="23" t="n">
        <f aca="false">IF(AND(E25&gt;0,COUNTIFS(B$6:B25,B25,D$6:D25,1,C$6:C25,"&lt;&gt;")=1),LEN(B25)+device_over_b,0)</f>
        <v>0</v>
      </c>
    </row>
    <row r="26" customFormat="false" ht="15" hidden="false" customHeight="false" outlineLevel="0" collapsed="false">
      <c r="A26" s="3" t="n">
        <v>21</v>
      </c>
      <c r="B26" s="22"/>
      <c r="C26" s="22"/>
      <c r="D26" s="22"/>
      <c r="E26" s="23" t="n">
        <f aca="false">IF(AND(D26=1,C26&lt;&gt;""),LEN(C26)+sensor_over_b,0)</f>
        <v>0</v>
      </c>
      <c r="F26" s="23" t="n">
        <f aca="false">IF(AND(E26&gt;0,COUNTIFS(B$6:B26,B26,D$6:D26,1,C$6:C26,"&lt;&gt;")=1),LEN(B26)+device_over_b,0)</f>
        <v>0</v>
      </c>
    </row>
    <row r="27" customFormat="false" ht="15" hidden="false" customHeight="false" outlineLevel="0" collapsed="false">
      <c r="A27" s="3" t="n">
        <v>22</v>
      </c>
      <c r="B27" s="22"/>
      <c r="C27" s="22"/>
      <c r="D27" s="22"/>
      <c r="E27" s="23" t="n">
        <f aca="false">IF(AND(D27=1,C27&lt;&gt;""),LEN(C27)+sensor_over_b,0)</f>
        <v>0</v>
      </c>
      <c r="F27" s="23" t="n">
        <f aca="false">IF(AND(E27&gt;0,COUNTIFS(B$6:B27,B27,D$6:D27,1,C$6:C27,"&lt;&gt;")=1),LEN(B27)+device_over_b,0)</f>
        <v>0</v>
      </c>
    </row>
    <row r="28" customFormat="false" ht="15" hidden="false" customHeight="false" outlineLevel="0" collapsed="false">
      <c r="A28" s="3" t="n">
        <v>23</v>
      </c>
      <c r="B28" s="22"/>
      <c r="C28" s="22"/>
      <c r="D28" s="22"/>
      <c r="E28" s="23" t="n">
        <f aca="false">IF(AND(D28=1,C28&lt;&gt;""),LEN(C28)+sensor_over_b,0)</f>
        <v>0</v>
      </c>
      <c r="F28" s="23" t="n">
        <f aca="false">IF(AND(E28&gt;0,COUNTIFS(B$6:B28,B28,D$6:D28,1,C$6:C28,"&lt;&gt;")=1),LEN(B28)+device_over_b,0)</f>
        <v>0</v>
      </c>
    </row>
    <row r="29" customFormat="false" ht="15" hidden="false" customHeight="false" outlineLevel="0" collapsed="false">
      <c r="A29" s="3" t="n">
        <v>24</v>
      </c>
      <c r="B29" s="22"/>
      <c r="C29" s="22"/>
      <c r="D29" s="22"/>
      <c r="E29" s="23" t="n">
        <f aca="false">IF(AND(D29=1,C29&lt;&gt;""),LEN(C29)+sensor_over_b,0)</f>
        <v>0</v>
      </c>
      <c r="F29" s="23" t="n">
        <f aca="false">IF(AND(E29&gt;0,COUNTIFS(B$6:B29,B29,D$6:D29,1,C$6:C29,"&lt;&gt;")=1),LEN(B29)+device_over_b,0)</f>
        <v>0</v>
      </c>
    </row>
    <row r="30" customFormat="false" ht="15" hidden="false" customHeight="false" outlineLevel="0" collapsed="false">
      <c r="A30" s="3" t="n">
        <v>25</v>
      </c>
      <c r="B30" s="22"/>
      <c r="C30" s="22"/>
      <c r="D30" s="22"/>
      <c r="E30" s="23" t="n">
        <f aca="false">IF(AND(D30=1,C30&lt;&gt;""),LEN(C30)+sensor_over_b,0)</f>
        <v>0</v>
      </c>
      <c r="F30" s="23" t="n">
        <f aca="false">IF(AND(E30&gt;0,COUNTIFS(B$6:B30,B30,D$6:D30,1,C$6:C30,"&lt;&gt;")=1),LEN(B30)+device_over_b,0)</f>
        <v>0</v>
      </c>
    </row>
    <row r="31" customFormat="false" ht="15" hidden="false" customHeight="false" outlineLevel="0" collapsed="false">
      <c r="A31" s="3" t="n">
        <v>26</v>
      </c>
      <c r="B31" s="22"/>
      <c r="C31" s="22"/>
      <c r="D31" s="22"/>
      <c r="E31" s="23" t="n">
        <f aca="false">IF(AND(D31=1,C31&lt;&gt;""),LEN(C31)+sensor_over_b,0)</f>
        <v>0</v>
      </c>
      <c r="F31" s="23" t="n">
        <f aca="false">IF(AND(E31&gt;0,COUNTIFS(B$6:B31,B31,D$6:D31,1,C$6:C31,"&lt;&gt;")=1),LEN(B31)+device_over_b,0)</f>
        <v>0</v>
      </c>
    </row>
    <row r="32" customFormat="false" ht="15" hidden="false" customHeight="false" outlineLevel="0" collapsed="false">
      <c r="A32" s="3" t="n">
        <v>27</v>
      </c>
      <c r="B32" s="22"/>
      <c r="C32" s="22"/>
      <c r="D32" s="22"/>
      <c r="E32" s="23" t="n">
        <f aca="false">IF(AND(D32=1,C32&lt;&gt;""),LEN(C32)+sensor_over_b,0)</f>
        <v>0</v>
      </c>
      <c r="F32" s="23" t="n">
        <f aca="false">IF(AND(E32&gt;0,COUNTIFS(B$6:B32,B32,D$6:D32,1,C$6:C32,"&lt;&gt;")=1),LEN(B32)+device_over_b,0)</f>
        <v>0</v>
      </c>
    </row>
    <row r="33" customFormat="false" ht="15" hidden="false" customHeight="false" outlineLevel="0" collapsed="false">
      <c r="A33" s="3" t="n">
        <v>28</v>
      </c>
      <c r="B33" s="22"/>
      <c r="C33" s="22"/>
      <c r="D33" s="22"/>
      <c r="E33" s="23" t="n">
        <f aca="false">IF(AND(D33=1,C33&lt;&gt;""),LEN(C33)+sensor_over_b,0)</f>
        <v>0</v>
      </c>
      <c r="F33" s="23" t="n">
        <f aca="false">IF(AND(E33&gt;0,COUNTIFS(B$6:B33,B33,D$6:D33,1,C$6:C33,"&lt;&gt;")=1),LEN(B33)+device_over_b,0)</f>
        <v>0</v>
      </c>
    </row>
    <row r="34" customFormat="false" ht="15" hidden="false" customHeight="false" outlineLevel="0" collapsed="false">
      <c r="A34" s="3" t="n">
        <v>29</v>
      </c>
      <c r="B34" s="22"/>
      <c r="C34" s="22"/>
      <c r="D34" s="22"/>
      <c r="E34" s="23" t="n">
        <f aca="false">IF(AND(D34=1,C34&lt;&gt;""),LEN(C34)+sensor_over_b,0)</f>
        <v>0</v>
      </c>
      <c r="F34" s="23" t="n">
        <f aca="false">IF(AND(E34&gt;0,COUNTIFS(B$6:B34,B34,D$6:D34,1,C$6:C34,"&lt;&gt;")=1),LEN(B34)+device_over_b,0)</f>
        <v>0</v>
      </c>
    </row>
    <row r="35" customFormat="false" ht="15" hidden="false" customHeight="false" outlineLevel="0" collapsed="false">
      <c r="A35" s="3" t="n">
        <v>30</v>
      </c>
      <c r="B35" s="22"/>
      <c r="C35" s="22"/>
      <c r="D35" s="22"/>
      <c r="E35" s="23" t="n">
        <f aca="false">IF(AND(D35=1,C35&lt;&gt;""),LEN(C35)+sensor_over_b,0)</f>
        <v>0</v>
      </c>
      <c r="F35" s="23" t="n">
        <f aca="false">IF(AND(E35&gt;0,COUNTIFS(B$6:B35,B35,D$6:D35,1,C$6:C35,"&lt;&gt;")=1),LEN(B35)+device_over_b,0)</f>
        <v>0</v>
      </c>
    </row>
    <row r="36" customFormat="false" ht="15" hidden="false" customHeight="false" outlineLevel="0" collapsed="false">
      <c r="A36" s="3" t="n">
        <v>31</v>
      </c>
      <c r="B36" s="22"/>
      <c r="C36" s="22"/>
      <c r="D36" s="22"/>
      <c r="E36" s="23" t="n">
        <f aca="false">IF(AND(D36=1,C36&lt;&gt;""),LEN(C36)+sensor_over_b,0)</f>
        <v>0</v>
      </c>
      <c r="F36" s="23" t="n">
        <f aca="false">IF(AND(E36&gt;0,COUNTIFS(B$6:B36,B36,D$6:D36,1,C$6:C36,"&lt;&gt;")=1),LEN(B36)+device_over_b,0)</f>
        <v>0</v>
      </c>
    </row>
    <row r="37" customFormat="false" ht="15" hidden="false" customHeight="false" outlineLevel="0" collapsed="false">
      <c r="A37" s="3" t="n">
        <v>32</v>
      </c>
      <c r="B37" s="22"/>
      <c r="C37" s="22"/>
      <c r="D37" s="22"/>
      <c r="E37" s="23" t="n">
        <f aca="false">IF(AND(D37=1,C37&lt;&gt;""),LEN(C37)+sensor_over_b,0)</f>
        <v>0</v>
      </c>
      <c r="F37" s="23" t="n">
        <f aca="false">IF(AND(E37&gt;0,COUNTIFS(B$6:B37,B37,D$6:D37,1,C$6:C37,"&lt;&gt;")=1),LEN(B37)+device_over_b,0)</f>
        <v>0</v>
      </c>
    </row>
    <row r="38" customFormat="false" ht="15" hidden="false" customHeight="false" outlineLevel="0" collapsed="false">
      <c r="A38" s="3" t="n">
        <v>33</v>
      </c>
      <c r="B38" s="22"/>
      <c r="C38" s="22"/>
      <c r="D38" s="22"/>
      <c r="E38" s="23" t="n">
        <f aca="false">IF(AND(D38=1,C38&lt;&gt;""),LEN(C38)+sensor_over_b,0)</f>
        <v>0</v>
      </c>
      <c r="F38" s="23" t="n">
        <f aca="false">IF(AND(E38&gt;0,COUNTIFS(B$6:B38,B38,D$6:D38,1,C$6:C38,"&lt;&gt;")=1),LEN(B38)+device_over_b,0)</f>
        <v>0</v>
      </c>
    </row>
    <row r="39" customFormat="false" ht="15" hidden="false" customHeight="false" outlineLevel="0" collapsed="false">
      <c r="A39" s="3" t="n">
        <v>34</v>
      </c>
      <c r="B39" s="22"/>
      <c r="C39" s="22"/>
      <c r="D39" s="22"/>
      <c r="E39" s="23" t="n">
        <f aca="false">IF(AND(D39=1,C39&lt;&gt;""),LEN(C39)+sensor_over_b,0)</f>
        <v>0</v>
      </c>
      <c r="F39" s="23" t="n">
        <f aca="false">IF(AND(E39&gt;0,COUNTIFS(B$6:B39,B39,D$6:D39,1,C$6:C39,"&lt;&gt;")=1),LEN(B39)+device_over_b,0)</f>
        <v>0</v>
      </c>
    </row>
    <row r="40" customFormat="false" ht="15" hidden="false" customHeight="false" outlineLevel="0" collapsed="false">
      <c r="A40" s="3" t="n">
        <v>35</v>
      </c>
      <c r="B40" s="22"/>
      <c r="C40" s="22"/>
      <c r="D40" s="22"/>
      <c r="E40" s="23" t="n">
        <f aca="false">IF(AND(D40=1,C40&lt;&gt;""),LEN(C40)+sensor_over_b,0)</f>
        <v>0</v>
      </c>
      <c r="F40" s="23" t="n">
        <f aca="false">IF(AND(E40&gt;0,COUNTIFS(B$6:B40,B40,D$6:D40,1,C$6:C40,"&lt;&gt;")=1),LEN(B40)+device_over_b,0)</f>
        <v>0</v>
      </c>
    </row>
    <row r="41" customFormat="false" ht="15" hidden="false" customHeight="false" outlineLevel="0" collapsed="false">
      <c r="A41" s="3" t="n">
        <v>36</v>
      </c>
      <c r="B41" s="22"/>
      <c r="C41" s="22"/>
      <c r="D41" s="22"/>
      <c r="E41" s="23" t="n">
        <f aca="false">IF(AND(D41=1,C41&lt;&gt;""),LEN(C41)+sensor_over_b,0)</f>
        <v>0</v>
      </c>
      <c r="F41" s="23" t="n">
        <f aca="false">IF(AND(E41&gt;0,COUNTIFS(B$6:B41,B41,D$6:D41,1,C$6:C41,"&lt;&gt;")=1),LEN(B41)+device_over_b,0)</f>
        <v>0</v>
      </c>
    </row>
    <row r="42" customFormat="false" ht="15" hidden="false" customHeight="false" outlineLevel="0" collapsed="false">
      <c r="A42" s="3" t="n">
        <v>37</v>
      </c>
      <c r="B42" s="22"/>
      <c r="C42" s="22"/>
      <c r="D42" s="22"/>
      <c r="E42" s="23" t="n">
        <f aca="false">IF(AND(D42=1,C42&lt;&gt;""),LEN(C42)+sensor_over_b,0)</f>
        <v>0</v>
      </c>
      <c r="F42" s="23" t="n">
        <f aca="false">IF(AND(E42&gt;0,COUNTIFS(B$6:B42,B42,D$6:D42,1,C$6:C42,"&lt;&gt;")=1),LEN(B42)+device_over_b,0)</f>
        <v>0</v>
      </c>
    </row>
    <row r="43" customFormat="false" ht="15" hidden="false" customHeight="false" outlineLevel="0" collapsed="false">
      <c r="A43" s="3" t="n">
        <v>38</v>
      </c>
      <c r="B43" s="22"/>
      <c r="C43" s="22"/>
      <c r="D43" s="22"/>
      <c r="E43" s="23" t="n">
        <f aca="false">IF(AND(D43=1,C43&lt;&gt;""),LEN(C43)+sensor_over_b,0)</f>
        <v>0</v>
      </c>
      <c r="F43" s="23" t="n">
        <f aca="false">IF(AND(E43&gt;0,COUNTIFS(B$6:B43,B43,D$6:D43,1,C$6:C43,"&lt;&gt;")=1),LEN(B43)+device_over_b,0)</f>
        <v>0</v>
      </c>
    </row>
    <row r="44" customFormat="false" ht="15" hidden="false" customHeight="false" outlineLevel="0" collapsed="false">
      <c r="A44" s="3" t="n">
        <v>39</v>
      </c>
      <c r="B44" s="22"/>
      <c r="C44" s="22"/>
      <c r="D44" s="22"/>
      <c r="E44" s="23" t="n">
        <f aca="false">IF(AND(D44=1,C44&lt;&gt;""),LEN(C44)+sensor_over_b,0)</f>
        <v>0</v>
      </c>
      <c r="F44" s="23" t="n">
        <f aca="false">IF(AND(E44&gt;0,COUNTIFS(B$6:B44,B44,D$6:D44,1,C$6:C44,"&lt;&gt;")=1),LEN(B44)+device_over_b,0)</f>
        <v>0</v>
      </c>
    </row>
    <row r="45" customFormat="false" ht="15" hidden="false" customHeight="false" outlineLevel="0" collapsed="false">
      <c r="A45" s="3" t="n">
        <v>40</v>
      </c>
      <c r="B45" s="22"/>
      <c r="C45" s="22"/>
      <c r="D45" s="22"/>
      <c r="E45" s="23" t="n">
        <f aca="false">IF(AND(D45=1,C45&lt;&gt;""),LEN(C45)+sensor_over_b,0)</f>
        <v>0</v>
      </c>
      <c r="F45" s="23" t="n">
        <f aca="false">IF(AND(E45&gt;0,COUNTIFS(B$6:B45,B45,D$6:D45,1,C$6:C45,"&lt;&gt;")=1),LEN(B45)+device_over_b,0)</f>
        <v>0</v>
      </c>
    </row>
    <row r="46" customFormat="false" ht="15" hidden="false" customHeight="false" outlineLevel="0" collapsed="false">
      <c r="A46" s="3" t="n">
        <v>41</v>
      </c>
      <c r="B46" s="22"/>
      <c r="C46" s="22"/>
      <c r="D46" s="22"/>
      <c r="E46" s="23" t="n">
        <f aca="false">IF(AND(D46=1,C46&lt;&gt;""),LEN(C46)+sensor_over_b,0)</f>
        <v>0</v>
      </c>
      <c r="F46" s="23" t="n">
        <f aca="false">IF(AND(E46&gt;0,COUNTIFS(B$6:B46,B46,D$6:D46,1,C$6:C46,"&lt;&gt;")=1),LEN(B46)+device_over_b,0)</f>
        <v>0</v>
      </c>
    </row>
    <row r="47" customFormat="false" ht="15" hidden="false" customHeight="false" outlineLevel="0" collapsed="false">
      <c r="A47" s="3" t="n">
        <v>42</v>
      </c>
      <c r="B47" s="22"/>
      <c r="C47" s="22"/>
      <c r="D47" s="22"/>
      <c r="E47" s="23" t="n">
        <f aca="false">IF(AND(D47=1,C47&lt;&gt;""),LEN(C47)+sensor_over_b,0)</f>
        <v>0</v>
      </c>
      <c r="F47" s="23" t="n">
        <f aca="false">IF(AND(E47&gt;0,COUNTIFS(B$6:B47,B47,D$6:D47,1,C$6:C47,"&lt;&gt;")=1),LEN(B47)+device_over_b,0)</f>
        <v>0</v>
      </c>
    </row>
    <row r="48" customFormat="false" ht="15" hidden="false" customHeight="false" outlineLevel="0" collapsed="false">
      <c r="A48" s="3" t="n">
        <v>43</v>
      </c>
      <c r="B48" s="22"/>
      <c r="C48" s="22"/>
      <c r="D48" s="22"/>
      <c r="E48" s="23" t="n">
        <f aca="false">IF(AND(D48=1,C48&lt;&gt;""),LEN(C48)+sensor_over_b,0)</f>
        <v>0</v>
      </c>
      <c r="F48" s="23" t="n">
        <f aca="false">IF(AND(E48&gt;0,COUNTIFS(B$6:B48,B48,D$6:D48,1,C$6:C48,"&lt;&gt;")=1),LEN(B48)+device_over_b,0)</f>
        <v>0</v>
      </c>
    </row>
    <row r="49" customFormat="false" ht="15" hidden="false" customHeight="false" outlineLevel="0" collapsed="false">
      <c r="A49" s="3" t="n">
        <v>44</v>
      </c>
      <c r="B49" s="22"/>
      <c r="C49" s="22"/>
      <c r="D49" s="22"/>
      <c r="E49" s="23" t="n">
        <f aca="false">IF(AND(D49=1,C49&lt;&gt;""),LEN(C49)+sensor_over_b,0)</f>
        <v>0</v>
      </c>
      <c r="F49" s="23" t="n">
        <f aca="false">IF(AND(E49&gt;0,COUNTIFS(B$6:B49,B49,D$6:D49,1,C$6:C49,"&lt;&gt;")=1),LEN(B49)+device_over_b,0)</f>
        <v>0</v>
      </c>
    </row>
    <row r="50" customFormat="false" ht="15" hidden="false" customHeight="false" outlineLevel="0" collapsed="false">
      <c r="A50" s="3" t="n">
        <v>45</v>
      </c>
      <c r="B50" s="22"/>
      <c r="C50" s="22"/>
      <c r="D50" s="22"/>
      <c r="E50" s="23" t="n">
        <f aca="false">IF(AND(D50=1,C50&lt;&gt;""),LEN(C50)+sensor_over_b,0)</f>
        <v>0</v>
      </c>
      <c r="F50" s="23" t="n">
        <f aca="false">IF(AND(E50&gt;0,COUNTIFS(B$6:B50,B50,D$6:D50,1,C$6:C50,"&lt;&gt;")=1),LEN(B50)+device_over_b,0)</f>
        <v>0</v>
      </c>
    </row>
    <row r="51" customFormat="false" ht="15" hidden="false" customHeight="false" outlineLevel="0" collapsed="false">
      <c r="A51" s="3" t="n">
        <v>46</v>
      </c>
      <c r="B51" s="22"/>
      <c r="C51" s="22"/>
      <c r="D51" s="22"/>
      <c r="E51" s="23" t="n">
        <f aca="false">IF(AND(D51=1,C51&lt;&gt;""),LEN(C51)+sensor_over_b,0)</f>
        <v>0</v>
      </c>
      <c r="F51" s="23" t="n">
        <f aca="false">IF(AND(E51&gt;0,COUNTIFS(B$6:B51,B51,D$6:D51,1,C$6:C51,"&lt;&gt;")=1),LEN(B51)+device_over_b,0)</f>
        <v>0</v>
      </c>
    </row>
    <row r="52" customFormat="false" ht="15" hidden="false" customHeight="false" outlineLevel="0" collapsed="false">
      <c r="A52" s="3" t="n">
        <v>47</v>
      </c>
      <c r="B52" s="22"/>
      <c r="C52" s="22"/>
      <c r="D52" s="22"/>
      <c r="E52" s="23" t="n">
        <f aca="false">IF(AND(D52=1,C52&lt;&gt;""),LEN(C52)+sensor_over_b,0)</f>
        <v>0</v>
      </c>
      <c r="F52" s="23" t="n">
        <f aca="false">IF(AND(E52&gt;0,COUNTIFS(B$6:B52,B52,D$6:D52,1,C$6:C52,"&lt;&gt;")=1),LEN(B52)+device_over_b,0)</f>
        <v>0</v>
      </c>
    </row>
    <row r="53" customFormat="false" ht="15" hidden="false" customHeight="false" outlineLevel="0" collapsed="false">
      <c r="A53" s="3" t="n">
        <v>48</v>
      </c>
      <c r="B53" s="22"/>
      <c r="C53" s="22"/>
      <c r="D53" s="22"/>
      <c r="E53" s="23" t="n">
        <f aca="false">IF(AND(D53=1,C53&lt;&gt;""),LEN(C53)+sensor_over_b,0)</f>
        <v>0</v>
      </c>
      <c r="F53" s="23" t="n">
        <f aca="false">IF(AND(E53&gt;0,COUNTIFS(B$6:B53,B53,D$6:D53,1,C$6:C53,"&lt;&gt;")=1),LEN(B53)+device_over_b,0)</f>
        <v>0</v>
      </c>
    </row>
    <row r="54" customFormat="false" ht="15" hidden="false" customHeight="false" outlineLevel="0" collapsed="false">
      <c r="A54" s="3" t="n">
        <v>49</v>
      </c>
      <c r="B54" s="22"/>
      <c r="C54" s="22"/>
      <c r="D54" s="22"/>
      <c r="E54" s="23" t="n">
        <f aca="false">IF(AND(D54=1,C54&lt;&gt;""),LEN(C54)+sensor_over_b,0)</f>
        <v>0</v>
      </c>
      <c r="F54" s="23" t="n">
        <f aca="false">IF(AND(E54&gt;0,COUNTIFS(B$6:B54,B54,D$6:D54,1,C$6:C54,"&lt;&gt;")=1),LEN(B54)+device_over_b,0)</f>
        <v>0</v>
      </c>
    </row>
    <row r="55" customFormat="false" ht="15" hidden="false" customHeight="false" outlineLevel="0" collapsed="false">
      <c r="A55" s="3" t="n">
        <v>50</v>
      </c>
      <c r="B55" s="22"/>
      <c r="C55" s="22"/>
      <c r="D55" s="22"/>
      <c r="E55" s="23" t="n">
        <f aca="false">IF(AND(D55=1,C55&lt;&gt;""),LEN(C55)+sensor_over_b,0)</f>
        <v>0</v>
      </c>
      <c r="F55" s="23" t="n">
        <f aca="false">IF(AND(E55&gt;0,COUNTIFS(B$6:B55,B55,D$6:D55,1,C$6:C55,"&lt;&gt;")=1),LEN(B55)+device_over_b,0)</f>
        <v>0</v>
      </c>
    </row>
    <row r="56" customFormat="false" ht="15" hidden="false" customHeight="false" outlineLevel="0" collapsed="false">
      <c r="A56" s="3" t="n">
        <v>51</v>
      </c>
      <c r="B56" s="22"/>
      <c r="C56" s="22"/>
      <c r="D56" s="22"/>
      <c r="E56" s="23" t="n">
        <f aca="false">IF(AND(D56=1,C56&lt;&gt;""),LEN(C56)+sensor_over_b,0)</f>
        <v>0</v>
      </c>
      <c r="F56" s="23" t="n">
        <f aca="false">IF(AND(E56&gt;0,COUNTIFS(B$6:B56,B56,D$6:D56,1,C$6:C56,"&lt;&gt;")=1),LEN(B56)+device_over_b,0)</f>
        <v>0</v>
      </c>
    </row>
    <row r="57" customFormat="false" ht="15" hidden="false" customHeight="false" outlineLevel="0" collapsed="false">
      <c r="A57" s="3" t="n">
        <v>52</v>
      </c>
      <c r="B57" s="22"/>
      <c r="C57" s="22"/>
      <c r="D57" s="22"/>
      <c r="E57" s="23" t="n">
        <f aca="false">IF(AND(D57=1,C57&lt;&gt;""),LEN(C57)+sensor_over_b,0)</f>
        <v>0</v>
      </c>
      <c r="F57" s="23" t="n">
        <f aca="false">IF(AND(E57&gt;0,COUNTIFS(B$6:B57,B57,D$6:D57,1,C$6:C57,"&lt;&gt;")=1),LEN(B57)+device_over_b,0)</f>
        <v>0</v>
      </c>
    </row>
    <row r="58" customFormat="false" ht="15" hidden="false" customHeight="false" outlineLevel="0" collapsed="false">
      <c r="A58" s="3" t="n">
        <v>53</v>
      </c>
      <c r="B58" s="22"/>
      <c r="C58" s="22"/>
      <c r="D58" s="22"/>
      <c r="E58" s="23" t="n">
        <f aca="false">IF(AND(D58=1,C58&lt;&gt;""),LEN(C58)+sensor_over_b,0)</f>
        <v>0</v>
      </c>
      <c r="F58" s="23" t="n">
        <f aca="false">IF(AND(E58&gt;0,COUNTIFS(B$6:B58,B58,D$6:D58,1,C$6:C58,"&lt;&gt;")=1),LEN(B58)+device_over_b,0)</f>
        <v>0</v>
      </c>
    </row>
    <row r="59" customFormat="false" ht="15" hidden="false" customHeight="false" outlineLevel="0" collapsed="false">
      <c r="A59" s="3" t="n">
        <v>54</v>
      </c>
      <c r="B59" s="22"/>
      <c r="C59" s="22"/>
      <c r="D59" s="22"/>
      <c r="E59" s="23" t="n">
        <f aca="false">IF(AND(D59=1,C59&lt;&gt;""),LEN(C59)+sensor_over_b,0)</f>
        <v>0</v>
      </c>
      <c r="F59" s="23" t="n">
        <f aca="false">IF(AND(E59&gt;0,COUNTIFS(B$6:B59,B59,D$6:D59,1,C$6:C59,"&lt;&gt;")=1),LEN(B59)+device_over_b,0)</f>
        <v>0</v>
      </c>
    </row>
    <row r="60" customFormat="false" ht="15" hidden="false" customHeight="false" outlineLevel="0" collapsed="false">
      <c r="A60" s="3" t="n">
        <v>55</v>
      </c>
      <c r="B60" s="22"/>
      <c r="C60" s="22"/>
      <c r="D60" s="22"/>
      <c r="E60" s="23" t="n">
        <f aca="false">IF(AND(D60=1,C60&lt;&gt;""),LEN(C60)+sensor_over_b,0)</f>
        <v>0</v>
      </c>
      <c r="F60" s="23" t="n">
        <f aca="false">IF(AND(E60&gt;0,COUNTIFS(B$6:B60,B60,D$6:D60,1,C$6:C60,"&lt;&gt;")=1),LEN(B60)+device_over_b,0)</f>
        <v>0</v>
      </c>
    </row>
    <row r="61" customFormat="false" ht="15" hidden="false" customHeight="false" outlineLevel="0" collapsed="false">
      <c r="A61" s="3" t="n">
        <v>56</v>
      </c>
      <c r="B61" s="22"/>
      <c r="C61" s="22"/>
      <c r="D61" s="22"/>
      <c r="E61" s="23" t="n">
        <f aca="false">IF(AND(D61=1,C61&lt;&gt;""),LEN(C61)+sensor_over_b,0)</f>
        <v>0</v>
      </c>
      <c r="F61" s="23" t="n">
        <f aca="false">IF(AND(E61&gt;0,COUNTIFS(B$6:B61,B61,D$6:D61,1,C$6:C61,"&lt;&gt;")=1),LEN(B61)+device_over_b,0)</f>
        <v>0</v>
      </c>
    </row>
    <row r="62" customFormat="false" ht="15" hidden="false" customHeight="false" outlineLevel="0" collapsed="false">
      <c r="A62" s="3" t="n">
        <v>57</v>
      </c>
      <c r="B62" s="22"/>
      <c r="C62" s="22"/>
      <c r="D62" s="22"/>
      <c r="E62" s="23" t="n">
        <f aca="false">IF(AND(D62=1,C62&lt;&gt;""),LEN(C62)+sensor_over_b,0)</f>
        <v>0</v>
      </c>
      <c r="F62" s="23" t="n">
        <f aca="false">IF(AND(E62&gt;0,COUNTIFS(B$6:B62,B62,D$6:D62,1,C$6:C62,"&lt;&gt;")=1),LEN(B62)+device_over_b,0)</f>
        <v>0</v>
      </c>
    </row>
    <row r="63" customFormat="false" ht="15" hidden="false" customHeight="false" outlineLevel="0" collapsed="false">
      <c r="A63" s="3" t="n">
        <v>58</v>
      </c>
      <c r="B63" s="22"/>
      <c r="C63" s="22"/>
      <c r="D63" s="22"/>
      <c r="E63" s="23" t="n">
        <f aca="false">IF(AND(D63=1,C63&lt;&gt;""),LEN(C63)+sensor_over_b,0)</f>
        <v>0</v>
      </c>
      <c r="F63" s="23" t="n">
        <f aca="false">IF(AND(E63&gt;0,COUNTIFS(B$6:B63,B63,D$6:D63,1,C$6:C63,"&lt;&gt;")=1),LEN(B63)+device_over_b,0)</f>
        <v>0</v>
      </c>
    </row>
    <row r="64" customFormat="false" ht="15" hidden="false" customHeight="false" outlineLevel="0" collapsed="false">
      <c r="A64" s="3" t="n">
        <v>59</v>
      </c>
      <c r="B64" s="22"/>
      <c r="C64" s="22"/>
      <c r="D64" s="22"/>
      <c r="E64" s="23" t="n">
        <f aca="false">IF(AND(D64=1,C64&lt;&gt;""),LEN(C64)+sensor_over_b,0)</f>
        <v>0</v>
      </c>
      <c r="F64" s="23" t="n">
        <f aca="false">IF(AND(E64&gt;0,COUNTIFS(B$6:B64,B64,D$6:D64,1,C$6:C64,"&lt;&gt;")=1),LEN(B64)+device_over_b,0)</f>
        <v>0</v>
      </c>
    </row>
    <row r="65" customFormat="false" ht="15" hidden="false" customHeight="false" outlineLevel="0" collapsed="false">
      <c r="A65" s="3" t="n">
        <v>60</v>
      </c>
      <c r="B65" s="22"/>
      <c r="C65" s="22"/>
      <c r="D65" s="22"/>
      <c r="E65" s="23" t="n">
        <f aca="false">IF(AND(D65=1,C65&lt;&gt;""),LEN(C65)+sensor_over_b,0)</f>
        <v>0</v>
      </c>
      <c r="F65" s="23" t="n">
        <f aca="false">IF(AND(E65&gt;0,COUNTIFS(B$6:B65,B65,D$6:D65,1,C$6:C65,"&lt;&gt;")=1),LEN(B65)+device_over_b,0)</f>
        <v>0</v>
      </c>
    </row>
    <row r="66" customFormat="false" ht="15" hidden="false" customHeight="false" outlineLevel="0" collapsed="false">
      <c r="A66" s="3" t="n">
        <v>61</v>
      </c>
      <c r="B66" s="22"/>
      <c r="C66" s="22"/>
      <c r="D66" s="22"/>
      <c r="E66" s="23" t="n">
        <f aca="false">IF(AND(D66=1,C66&lt;&gt;""),LEN(C66)+sensor_over_b,0)</f>
        <v>0</v>
      </c>
      <c r="F66" s="23" t="n">
        <f aca="false">IF(AND(E66&gt;0,COUNTIFS(B$6:B66,B66,D$6:D66,1,C$6:C66,"&lt;&gt;")=1),LEN(B66)+device_over_b,0)</f>
        <v>0</v>
      </c>
    </row>
    <row r="67" customFormat="false" ht="15" hidden="false" customHeight="false" outlineLevel="0" collapsed="false">
      <c r="A67" s="3" t="n">
        <v>62</v>
      </c>
      <c r="B67" s="22"/>
      <c r="C67" s="22"/>
      <c r="D67" s="22"/>
      <c r="E67" s="23" t="n">
        <f aca="false">IF(AND(D67=1,C67&lt;&gt;""),LEN(C67)+sensor_over_b,0)</f>
        <v>0</v>
      </c>
      <c r="F67" s="23" t="n">
        <f aca="false">IF(AND(E67&gt;0,COUNTIFS(B$6:B67,B67,D$6:D67,1,C$6:C67,"&lt;&gt;")=1),LEN(B67)+device_over_b,0)</f>
        <v>0</v>
      </c>
    </row>
    <row r="68" customFormat="false" ht="15" hidden="false" customHeight="false" outlineLevel="0" collapsed="false">
      <c r="A68" s="3" t="n">
        <v>63</v>
      </c>
      <c r="B68" s="22"/>
      <c r="C68" s="22"/>
      <c r="D68" s="22"/>
      <c r="E68" s="23" t="n">
        <f aca="false">IF(AND(D68=1,C68&lt;&gt;""),LEN(C68)+sensor_over_b,0)</f>
        <v>0</v>
      </c>
      <c r="F68" s="23" t="n">
        <f aca="false">IF(AND(E68&gt;0,COUNTIFS(B$6:B68,B68,D$6:D68,1,C$6:C68,"&lt;&gt;")=1),LEN(B68)+device_over_b,0)</f>
        <v>0</v>
      </c>
    </row>
    <row r="69" customFormat="false" ht="15" hidden="false" customHeight="false" outlineLevel="0" collapsed="false">
      <c r="A69" s="3" t="n">
        <v>64</v>
      </c>
      <c r="B69" s="22"/>
      <c r="C69" s="22"/>
      <c r="D69" s="22"/>
      <c r="E69" s="23" t="n">
        <f aca="false">IF(AND(D69=1,C69&lt;&gt;""),LEN(C69)+sensor_over_b,0)</f>
        <v>0</v>
      </c>
      <c r="F69" s="23" t="n">
        <f aca="false">IF(AND(E69&gt;0,COUNTIFS(B$6:B69,B69,D$6:D69,1,C$6:C69,"&lt;&gt;")=1),LEN(B69)+device_over_b,0)</f>
        <v>0</v>
      </c>
    </row>
    <row r="70" customFormat="false" ht="15" hidden="false" customHeight="false" outlineLevel="0" collapsed="false">
      <c r="A70" s="3" t="n">
        <v>65</v>
      </c>
      <c r="B70" s="22"/>
      <c r="C70" s="22"/>
      <c r="D70" s="22"/>
      <c r="E70" s="23" t="n">
        <f aca="false">IF(AND(D70=1,C70&lt;&gt;""),LEN(C70)+sensor_over_b,0)</f>
        <v>0</v>
      </c>
      <c r="F70" s="23" t="n">
        <f aca="false">IF(AND(E70&gt;0,COUNTIFS(B$6:B70,B70,D$6:D70,1,C$6:C70,"&lt;&gt;")=1),LEN(B70)+device_over_b,0)</f>
        <v>0</v>
      </c>
    </row>
    <row r="71" customFormat="false" ht="15" hidden="false" customHeight="false" outlineLevel="0" collapsed="false">
      <c r="A71" s="3" t="n">
        <v>66</v>
      </c>
      <c r="B71" s="22"/>
      <c r="C71" s="22"/>
      <c r="D71" s="22"/>
      <c r="E71" s="23" t="n">
        <f aca="false">IF(AND(D71=1,C71&lt;&gt;""),LEN(C71)+sensor_over_b,0)</f>
        <v>0</v>
      </c>
      <c r="F71" s="23" t="n">
        <f aca="false">IF(AND(E71&gt;0,COUNTIFS(B$6:B71,B71,D$6:D71,1,C$6:C71,"&lt;&gt;")=1),LEN(B71)+device_over_b,0)</f>
        <v>0</v>
      </c>
    </row>
    <row r="72" customFormat="false" ht="15" hidden="false" customHeight="false" outlineLevel="0" collapsed="false">
      <c r="A72" s="3" t="n">
        <v>67</v>
      </c>
      <c r="B72" s="22"/>
      <c r="C72" s="22"/>
      <c r="D72" s="22"/>
      <c r="E72" s="23" t="n">
        <f aca="false">IF(AND(D72=1,C72&lt;&gt;""),LEN(C72)+sensor_over_b,0)</f>
        <v>0</v>
      </c>
      <c r="F72" s="23" t="n">
        <f aca="false">IF(AND(E72&gt;0,COUNTIFS(B$6:B72,B72,D$6:D72,1,C$6:C72,"&lt;&gt;")=1),LEN(B72)+device_over_b,0)</f>
        <v>0</v>
      </c>
    </row>
    <row r="73" customFormat="false" ht="15" hidden="false" customHeight="false" outlineLevel="0" collapsed="false">
      <c r="A73" s="3" t="n">
        <v>68</v>
      </c>
      <c r="B73" s="22"/>
      <c r="C73" s="22"/>
      <c r="D73" s="22"/>
      <c r="E73" s="23" t="n">
        <f aca="false">IF(AND(D73=1,C73&lt;&gt;""),LEN(C73)+sensor_over_b,0)</f>
        <v>0</v>
      </c>
      <c r="F73" s="23" t="n">
        <f aca="false">IF(AND(E73&gt;0,COUNTIFS(B$6:B73,B73,D$6:D73,1,C$6:C73,"&lt;&gt;")=1),LEN(B73)+device_over_b,0)</f>
        <v>0</v>
      </c>
    </row>
    <row r="74" customFormat="false" ht="15" hidden="false" customHeight="false" outlineLevel="0" collapsed="false">
      <c r="A74" s="3" t="n">
        <v>69</v>
      </c>
      <c r="B74" s="22"/>
      <c r="C74" s="22"/>
      <c r="D74" s="22"/>
      <c r="E74" s="23" t="n">
        <f aca="false">IF(AND(D74=1,C74&lt;&gt;""),LEN(C74)+sensor_over_b,0)</f>
        <v>0</v>
      </c>
      <c r="F74" s="23" t="n">
        <f aca="false">IF(AND(E74&gt;0,COUNTIFS(B$6:B74,B74,D$6:D74,1,C$6:C74,"&lt;&gt;")=1),LEN(B74)+device_over_b,0)</f>
        <v>0</v>
      </c>
    </row>
    <row r="75" customFormat="false" ht="15" hidden="false" customHeight="false" outlineLevel="0" collapsed="false">
      <c r="A75" s="3" t="n">
        <v>70</v>
      </c>
      <c r="B75" s="22"/>
      <c r="C75" s="22"/>
      <c r="D75" s="22"/>
      <c r="E75" s="23" t="n">
        <f aca="false">IF(AND(D75=1,C75&lt;&gt;""),LEN(C75)+sensor_over_b,0)</f>
        <v>0</v>
      </c>
      <c r="F75" s="23" t="n">
        <f aca="false">IF(AND(E75&gt;0,COUNTIFS(B$6:B75,B75,D$6:D75,1,C$6:C75,"&lt;&gt;")=1),LEN(B75)+device_over_b,0)</f>
        <v>0</v>
      </c>
    </row>
    <row r="76" customFormat="false" ht="15" hidden="false" customHeight="false" outlineLevel="0" collapsed="false">
      <c r="A76" s="3" t="n">
        <v>71</v>
      </c>
      <c r="B76" s="22"/>
      <c r="C76" s="22"/>
      <c r="D76" s="22"/>
      <c r="E76" s="23" t="n">
        <f aca="false">IF(AND(D76=1,C76&lt;&gt;""),LEN(C76)+sensor_over_b,0)</f>
        <v>0</v>
      </c>
      <c r="F76" s="23" t="n">
        <f aca="false">IF(AND(E76&gt;0,COUNTIFS(B$6:B76,B76,D$6:D76,1,C$6:C76,"&lt;&gt;")=1),LEN(B76)+device_over_b,0)</f>
        <v>0</v>
      </c>
    </row>
    <row r="77" customFormat="false" ht="15" hidden="false" customHeight="false" outlineLevel="0" collapsed="false">
      <c r="A77" s="3" t="n">
        <v>72</v>
      </c>
      <c r="B77" s="22"/>
      <c r="C77" s="22"/>
      <c r="D77" s="22"/>
      <c r="E77" s="23" t="n">
        <f aca="false">IF(AND(D77=1,C77&lt;&gt;""),LEN(C77)+sensor_over_b,0)</f>
        <v>0</v>
      </c>
      <c r="F77" s="23" t="n">
        <f aca="false">IF(AND(E77&gt;0,COUNTIFS(B$6:B77,B77,D$6:D77,1,C$6:C77,"&lt;&gt;")=1),LEN(B77)+device_over_b,0)</f>
        <v>0</v>
      </c>
    </row>
    <row r="78" customFormat="false" ht="15" hidden="false" customHeight="false" outlineLevel="0" collapsed="false">
      <c r="A78" s="3" t="n">
        <v>73</v>
      </c>
      <c r="B78" s="22"/>
      <c r="C78" s="22"/>
      <c r="D78" s="22"/>
      <c r="E78" s="23" t="n">
        <f aca="false">IF(AND(D78=1,C78&lt;&gt;""),LEN(C78)+sensor_over_b,0)</f>
        <v>0</v>
      </c>
      <c r="F78" s="23" t="n">
        <f aca="false">IF(AND(E78&gt;0,COUNTIFS(B$6:B78,B78,D$6:D78,1,C$6:C78,"&lt;&gt;")=1),LEN(B78)+device_over_b,0)</f>
        <v>0</v>
      </c>
    </row>
    <row r="79" customFormat="false" ht="15" hidden="false" customHeight="false" outlineLevel="0" collapsed="false">
      <c r="A79" s="3" t="n">
        <v>74</v>
      </c>
      <c r="B79" s="22"/>
      <c r="C79" s="22"/>
      <c r="D79" s="22"/>
      <c r="E79" s="23" t="n">
        <f aca="false">IF(AND(D79=1,C79&lt;&gt;""),LEN(C79)+sensor_over_b,0)</f>
        <v>0</v>
      </c>
      <c r="F79" s="23" t="n">
        <f aca="false">IF(AND(E79&gt;0,COUNTIFS(B$6:B79,B79,D$6:D79,1,C$6:C79,"&lt;&gt;")=1),LEN(B79)+device_over_b,0)</f>
        <v>0</v>
      </c>
    </row>
    <row r="80" customFormat="false" ht="15" hidden="false" customHeight="false" outlineLevel="0" collapsed="false">
      <c r="A80" s="3" t="n">
        <v>75</v>
      </c>
      <c r="B80" s="22"/>
      <c r="C80" s="22"/>
      <c r="D80" s="22"/>
      <c r="E80" s="23" t="n">
        <f aca="false">IF(AND(D80=1,C80&lt;&gt;""),LEN(C80)+sensor_over_b,0)</f>
        <v>0</v>
      </c>
      <c r="F80" s="23" t="n">
        <f aca="false">IF(AND(E80&gt;0,COUNTIFS(B$6:B80,B80,D$6:D80,1,C$6:C80,"&lt;&gt;")=1),LEN(B80)+device_over_b,0)</f>
        <v>0</v>
      </c>
    </row>
    <row r="81" customFormat="false" ht="15" hidden="false" customHeight="false" outlineLevel="0" collapsed="false">
      <c r="A81" s="3" t="n">
        <v>76</v>
      </c>
      <c r="B81" s="22"/>
      <c r="C81" s="22"/>
      <c r="D81" s="22"/>
      <c r="E81" s="23" t="n">
        <f aca="false">IF(AND(D81=1,C81&lt;&gt;""),LEN(C81)+sensor_over_b,0)</f>
        <v>0</v>
      </c>
      <c r="F81" s="23" t="n">
        <f aca="false">IF(AND(E81&gt;0,COUNTIFS(B$6:B81,B81,D$6:D81,1,C$6:C81,"&lt;&gt;")=1),LEN(B81)+device_over_b,0)</f>
        <v>0</v>
      </c>
    </row>
    <row r="82" customFormat="false" ht="15" hidden="false" customHeight="false" outlineLevel="0" collapsed="false">
      <c r="A82" s="3" t="n">
        <v>77</v>
      </c>
      <c r="B82" s="22"/>
      <c r="C82" s="22"/>
      <c r="D82" s="22"/>
      <c r="E82" s="23" t="n">
        <f aca="false">IF(AND(D82=1,C82&lt;&gt;""),LEN(C82)+sensor_over_b,0)</f>
        <v>0</v>
      </c>
      <c r="F82" s="23" t="n">
        <f aca="false">IF(AND(E82&gt;0,COUNTIFS(B$6:B82,B82,D$6:D82,1,C$6:C82,"&lt;&gt;")=1),LEN(B82)+device_over_b,0)</f>
        <v>0</v>
      </c>
    </row>
    <row r="83" customFormat="false" ht="15" hidden="false" customHeight="false" outlineLevel="0" collapsed="false">
      <c r="A83" s="3" t="n">
        <v>78</v>
      </c>
      <c r="B83" s="22"/>
      <c r="C83" s="22"/>
      <c r="D83" s="22"/>
      <c r="E83" s="23" t="n">
        <f aca="false">IF(AND(D83=1,C83&lt;&gt;""),LEN(C83)+sensor_over_b,0)</f>
        <v>0</v>
      </c>
      <c r="F83" s="23" t="n">
        <f aca="false">IF(AND(E83&gt;0,COUNTIFS(B$6:B83,B83,D$6:D83,1,C$6:C83,"&lt;&gt;")=1),LEN(B83)+device_over_b,0)</f>
        <v>0</v>
      </c>
    </row>
    <row r="84" customFormat="false" ht="15" hidden="false" customHeight="false" outlineLevel="0" collapsed="false">
      <c r="A84" s="3" t="n">
        <v>79</v>
      </c>
      <c r="B84" s="22"/>
      <c r="C84" s="22"/>
      <c r="D84" s="22"/>
      <c r="E84" s="23" t="n">
        <f aca="false">IF(AND(D84=1,C84&lt;&gt;""),LEN(C84)+sensor_over_b,0)</f>
        <v>0</v>
      </c>
      <c r="F84" s="23" t="n">
        <f aca="false">IF(AND(E84&gt;0,COUNTIFS(B$6:B84,B84,D$6:D84,1,C$6:C84,"&lt;&gt;")=1),LEN(B84)+device_over_b,0)</f>
        <v>0</v>
      </c>
    </row>
    <row r="85" customFormat="false" ht="15" hidden="false" customHeight="false" outlineLevel="0" collapsed="false">
      <c r="A85" s="3" t="n">
        <v>80</v>
      </c>
      <c r="B85" s="22"/>
      <c r="C85" s="22"/>
      <c r="D85" s="22"/>
      <c r="E85" s="23" t="n">
        <f aca="false">IF(AND(D85=1,C85&lt;&gt;""),LEN(C85)+sensor_over_b,0)</f>
        <v>0</v>
      </c>
      <c r="F85" s="23" t="n">
        <f aca="false">IF(AND(E85&gt;0,COUNTIFS(B$6:B85,B85,D$6:D85,1,C$6:C85,"&lt;&gt;")=1),LEN(B85)+device_over_b,0)</f>
        <v>0</v>
      </c>
    </row>
    <row r="86" customFormat="false" ht="15" hidden="false" customHeight="false" outlineLevel="0" collapsed="false">
      <c r="A86" s="3" t="n">
        <v>81</v>
      </c>
      <c r="B86" s="22"/>
      <c r="C86" s="22"/>
      <c r="D86" s="22"/>
      <c r="E86" s="23" t="n">
        <f aca="false">IF(AND(D86=1,C86&lt;&gt;""),LEN(C86)+sensor_over_b,0)</f>
        <v>0</v>
      </c>
      <c r="F86" s="23" t="n">
        <f aca="false">IF(AND(E86&gt;0,COUNTIFS(B$6:B86,B86,D$6:D86,1,C$6:C86,"&lt;&gt;")=1),LEN(B86)+device_over_b,0)</f>
        <v>0</v>
      </c>
    </row>
    <row r="87" customFormat="false" ht="15" hidden="false" customHeight="false" outlineLevel="0" collapsed="false">
      <c r="A87" s="3" t="n">
        <v>82</v>
      </c>
      <c r="B87" s="22"/>
      <c r="C87" s="22"/>
      <c r="D87" s="22"/>
      <c r="E87" s="23" t="n">
        <f aca="false">IF(AND(D87=1,C87&lt;&gt;""),LEN(C87)+sensor_over_b,0)</f>
        <v>0</v>
      </c>
      <c r="F87" s="23" t="n">
        <f aca="false">IF(AND(E87&gt;0,COUNTIFS(B$6:B87,B87,D$6:D87,1,C$6:C87,"&lt;&gt;")=1),LEN(B87)+device_over_b,0)</f>
        <v>0</v>
      </c>
    </row>
    <row r="88" customFormat="false" ht="15" hidden="false" customHeight="false" outlineLevel="0" collapsed="false">
      <c r="A88" s="3" t="n">
        <v>83</v>
      </c>
      <c r="B88" s="22"/>
      <c r="C88" s="22"/>
      <c r="D88" s="22"/>
      <c r="E88" s="23" t="n">
        <f aca="false">IF(AND(D88=1,C88&lt;&gt;""),LEN(C88)+sensor_over_b,0)</f>
        <v>0</v>
      </c>
      <c r="F88" s="23" t="n">
        <f aca="false">IF(AND(E88&gt;0,COUNTIFS(B$6:B88,B88,D$6:D88,1,C$6:C88,"&lt;&gt;")=1),LEN(B88)+device_over_b,0)</f>
        <v>0</v>
      </c>
    </row>
    <row r="89" customFormat="false" ht="15" hidden="false" customHeight="false" outlineLevel="0" collapsed="false">
      <c r="A89" s="3" t="n">
        <v>84</v>
      </c>
      <c r="B89" s="22"/>
      <c r="C89" s="22"/>
      <c r="D89" s="22"/>
      <c r="E89" s="23" t="n">
        <f aca="false">IF(AND(D89=1,C89&lt;&gt;""),LEN(C89)+sensor_over_b,0)</f>
        <v>0</v>
      </c>
      <c r="F89" s="23" t="n">
        <f aca="false">IF(AND(E89&gt;0,COUNTIFS(B$6:B89,B89,D$6:D89,1,C$6:C89,"&lt;&gt;")=1),LEN(B89)+device_over_b,0)</f>
        <v>0</v>
      </c>
    </row>
    <row r="90" customFormat="false" ht="15" hidden="false" customHeight="false" outlineLevel="0" collapsed="false">
      <c r="A90" s="3" t="n">
        <v>85</v>
      </c>
      <c r="B90" s="22"/>
      <c r="C90" s="22"/>
      <c r="D90" s="22"/>
      <c r="E90" s="23" t="n">
        <f aca="false">IF(AND(D90=1,C90&lt;&gt;""),LEN(C90)+sensor_over_b,0)</f>
        <v>0</v>
      </c>
      <c r="F90" s="23" t="n">
        <f aca="false">IF(AND(E90&gt;0,COUNTIFS(B$6:B90,B90,D$6:D90,1,C$6:C90,"&lt;&gt;")=1),LEN(B90)+device_over_b,0)</f>
        <v>0</v>
      </c>
    </row>
    <row r="91" customFormat="false" ht="15" hidden="false" customHeight="false" outlineLevel="0" collapsed="false">
      <c r="A91" s="3" t="n">
        <v>86</v>
      </c>
      <c r="B91" s="22"/>
      <c r="C91" s="22"/>
      <c r="D91" s="22"/>
      <c r="E91" s="23" t="n">
        <f aca="false">IF(AND(D91=1,C91&lt;&gt;""),LEN(C91)+sensor_over_b,0)</f>
        <v>0</v>
      </c>
      <c r="F91" s="23" t="n">
        <f aca="false">IF(AND(E91&gt;0,COUNTIFS(B$6:B91,B91,D$6:D91,1,C$6:C91,"&lt;&gt;")=1),LEN(B91)+device_over_b,0)</f>
        <v>0</v>
      </c>
    </row>
    <row r="92" customFormat="false" ht="15" hidden="false" customHeight="false" outlineLevel="0" collapsed="false">
      <c r="A92" s="3" t="n">
        <v>87</v>
      </c>
      <c r="B92" s="22"/>
      <c r="C92" s="22"/>
      <c r="D92" s="22"/>
      <c r="E92" s="23" t="n">
        <f aca="false">IF(AND(D92=1,C92&lt;&gt;""),LEN(C92)+sensor_over_b,0)</f>
        <v>0</v>
      </c>
      <c r="F92" s="23" t="n">
        <f aca="false">IF(AND(E92&gt;0,COUNTIFS(B$6:B92,B92,D$6:D92,1,C$6:C92,"&lt;&gt;")=1),LEN(B92)+device_over_b,0)</f>
        <v>0</v>
      </c>
    </row>
    <row r="93" customFormat="false" ht="15" hidden="false" customHeight="false" outlineLevel="0" collapsed="false">
      <c r="A93" s="3" t="n">
        <v>88</v>
      </c>
      <c r="B93" s="22"/>
      <c r="C93" s="22"/>
      <c r="D93" s="22"/>
      <c r="E93" s="23" t="n">
        <f aca="false">IF(AND(D93=1,C93&lt;&gt;""),LEN(C93)+sensor_over_b,0)</f>
        <v>0</v>
      </c>
      <c r="F93" s="23" t="n">
        <f aca="false">IF(AND(E93&gt;0,COUNTIFS(B$6:B93,B93,D$6:D93,1,C$6:C93,"&lt;&gt;")=1),LEN(B93)+device_over_b,0)</f>
        <v>0</v>
      </c>
    </row>
    <row r="94" customFormat="false" ht="15" hidden="false" customHeight="false" outlineLevel="0" collapsed="false">
      <c r="A94" s="3" t="n">
        <v>89</v>
      </c>
      <c r="B94" s="22"/>
      <c r="C94" s="22"/>
      <c r="D94" s="22"/>
      <c r="E94" s="23" t="n">
        <f aca="false">IF(AND(D94=1,C94&lt;&gt;""),LEN(C94)+sensor_over_b,0)</f>
        <v>0</v>
      </c>
      <c r="F94" s="23" t="n">
        <f aca="false">IF(AND(E94&gt;0,COUNTIFS(B$6:B94,B94,D$6:D94,1,C$6:C94,"&lt;&gt;")=1),LEN(B94)+device_over_b,0)</f>
        <v>0</v>
      </c>
    </row>
    <row r="95" customFormat="false" ht="15" hidden="false" customHeight="false" outlineLevel="0" collapsed="false">
      <c r="A95" s="3" t="n">
        <v>90</v>
      </c>
      <c r="B95" s="22"/>
      <c r="C95" s="22"/>
      <c r="D95" s="22"/>
      <c r="E95" s="23" t="n">
        <f aca="false">IF(AND(D95=1,C95&lt;&gt;""),LEN(C95)+sensor_over_b,0)</f>
        <v>0</v>
      </c>
      <c r="F95" s="23" t="n">
        <f aca="false">IF(AND(E95&gt;0,COUNTIFS(B$6:B95,B95,D$6:D95,1,C$6:C95,"&lt;&gt;")=1),LEN(B95)+device_over_b,0)</f>
        <v>0</v>
      </c>
    </row>
    <row r="96" customFormat="false" ht="15" hidden="false" customHeight="false" outlineLevel="0" collapsed="false">
      <c r="A96" s="3" t="n">
        <v>91</v>
      </c>
      <c r="B96" s="22"/>
      <c r="C96" s="22"/>
      <c r="D96" s="22"/>
      <c r="E96" s="23" t="n">
        <f aca="false">IF(AND(D96=1,C96&lt;&gt;""),LEN(C96)+sensor_over_b,0)</f>
        <v>0</v>
      </c>
      <c r="F96" s="23" t="n">
        <f aca="false">IF(AND(E96&gt;0,COUNTIFS(B$6:B96,B96,D$6:D96,1,C$6:C96,"&lt;&gt;")=1),LEN(B96)+device_over_b,0)</f>
        <v>0</v>
      </c>
    </row>
    <row r="97" customFormat="false" ht="15" hidden="false" customHeight="false" outlineLevel="0" collapsed="false">
      <c r="A97" s="3" t="n">
        <v>92</v>
      </c>
      <c r="B97" s="22"/>
      <c r="C97" s="22"/>
      <c r="D97" s="22"/>
      <c r="E97" s="23" t="n">
        <f aca="false">IF(AND(D97=1,C97&lt;&gt;""),LEN(C97)+sensor_over_b,0)</f>
        <v>0</v>
      </c>
      <c r="F97" s="23" t="n">
        <f aca="false">IF(AND(E97&gt;0,COUNTIFS(B$6:B97,B97,D$6:D97,1,C$6:C97,"&lt;&gt;")=1),LEN(B97)+device_over_b,0)</f>
        <v>0</v>
      </c>
    </row>
    <row r="98" customFormat="false" ht="15" hidden="false" customHeight="false" outlineLevel="0" collapsed="false">
      <c r="A98" s="3" t="n">
        <v>93</v>
      </c>
      <c r="B98" s="22"/>
      <c r="C98" s="22"/>
      <c r="D98" s="22"/>
      <c r="E98" s="23" t="n">
        <f aca="false">IF(AND(D98=1,C98&lt;&gt;""),LEN(C98)+sensor_over_b,0)</f>
        <v>0</v>
      </c>
      <c r="F98" s="23" t="n">
        <f aca="false">IF(AND(E98&gt;0,COUNTIFS(B$6:B98,B98,D$6:D98,1,C$6:C98,"&lt;&gt;")=1),LEN(B98)+device_over_b,0)</f>
        <v>0</v>
      </c>
    </row>
    <row r="99" customFormat="false" ht="15" hidden="false" customHeight="false" outlineLevel="0" collapsed="false">
      <c r="A99" s="3" t="n">
        <v>94</v>
      </c>
      <c r="B99" s="22"/>
      <c r="C99" s="22"/>
      <c r="D99" s="22"/>
      <c r="E99" s="23" t="n">
        <f aca="false">IF(AND(D99=1,C99&lt;&gt;""),LEN(C99)+sensor_over_b,0)</f>
        <v>0</v>
      </c>
      <c r="F99" s="23" t="n">
        <f aca="false">IF(AND(E99&gt;0,COUNTIFS(B$6:B99,B99,D$6:D99,1,C$6:C99,"&lt;&gt;")=1),LEN(B99)+device_over_b,0)</f>
        <v>0</v>
      </c>
    </row>
    <row r="100" customFormat="false" ht="15" hidden="false" customHeight="false" outlineLevel="0" collapsed="false">
      <c r="A100" s="3" t="n">
        <v>95</v>
      </c>
      <c r="B100" s="22"/>
      <c r="C100" s="22"/>
      <c r="D100" s="22"/>
      <c r="E100" s="23" t="n">
        <f aca="false">IF(AND(D100=1,C100&lt;&gt;""),LEN(C100)+sensor_over_b,0)</f>
        <v>0</v>
      </c>
      <c r="F100" s="23" t="n">
        <f aca="false">IF(AND(E100&gt;0,COUNTIFS(B$6:B100,B100,D$6:D100,1,C$6:C100,"&lt;&gt;")=1),LEN(B100)+device_over_b,0)</f>
        <v>0</v>
      </c>
    </row>
    <row r="101" customFormat="false" ht="15" hidden="false" customHeight="false" outlineLevel="0" collapsed="false">
      <c r="A101" s="3" t="n">
        <v>96</v>
      </c>
      <c r="B101" s="22"/>
      <c r="C101" s="22"/>
      <c r="D101" s="22"/>
      <c r="E101" s="23" t="n">
        <f aca="false">IF(AND(D101=1,C101&lt;&gt;""),LEN(C101)+sensor_over_b,0)</f>
        <v>0</v>
      </c>
      <c r="F101" s="23" t="n">
        <f aca="false">IF(AND(E101&gt;0,COUNTIFS(B$6:B101,B101,D$6:D101,1,C$6:C101,"&lt;&gt;")=1),LEN(B101)+device_over_b,0)</f>
        <v>0</v>
      </c>
    </row>
    <row r="102" customFormat="false" ht="15" hidden="false" customHeight="false" outlineLevel="0" collapsed="false">
      <c r="A102" s="3" t="n">
        <v>97</v>
      </c>
      <c r="B102" s="22"/>
      <c r="C102" s="22"/>
      <c r="D102" s="22"/>
      <c r="E102" s="23" t="n">
        <f aca="false">IF(AND(D102=1,C102&lt;&gt;""),LEN(C102)+sensor_over_b,0)</f>
        <v>0</v>
      </c>
      <c r="F102" s="23" t="n">
        <f aca="false">IF(AND(E102&gt;0,COUNTIFS(B$6:B102,B102,D$6:D102,1,C$6:C102,"&lt;&gt;")=1),LEN(B102)+device_over_b,0)</f>
        <v>0</v>
      </c>
    </row>
    <row r="103" customFormat="false" ht="15" hidden="false" customHeight="false" outlineLevel="0" collapsed="false">
      <c r="A103" s="3" t="n">
        <v>98</v>
      </c>
      <c r="B103" s="22"/>
      <c r="C103" s="22"/>
      <c r="D103" s="22"/>
      <c r="E103" s="23" t="n">
        <f aca="false">IF(AND(D103=1,C103&lt;&gt;""),LEN(C103)+sensor_over_b,0)</f>
        <v>0</v>
      </c>
      <c r="F103" s="23" t="n">
        <f aca="false">IF(AND(E103&gt;0,COUNTIFS(B$6:B103,B103,D$6:D103,1,C$6:C103,"&lt;&gt;")=1),LEN(B103)+device_over_b,0)</f>
        <v>0</v>
      </c>
    </row>
    <row r="104" customFormat="false" ht="15" hidden="false" customHeight="false" outlineLevel="0" collapsed="false">
      <c r="A104" s="3" t="n">
        <v>99</v>
      </c>
      <c r="B104" s="22"/>
      <c r="C104" s="22"/>
      <c r="D104" s="22"/>
      <c r="E104" s="23" t="n">
        <f aca="false">IF(AND(D104=1,C104&lt;&gt;""),LEN(C104)+sensor_over_b,0)</f>
        <v>0</v>
      </c>
      <c r="F104" s="23" t="n">
        <f aca="false">IF(AND(E104&gt;0,COUNTIFS(B$6:B104,B104,D$6:D104,1,C$6:C104,"&lt;&gt;")=1),LEN(B104)+device_over_b,0)</f>
        <v>0</v>
      </c>
    </row>
    <row r="105" customFormat="false" ht="15" hidden="false" customHeight="false" outlineLevel="0" collapsed="false">
      <c r="A105" s="3" t="n">
        <v>100</v>
      </c>
      <c r="B105" s="22"/>
      <c r="C105" s="22"/>
      <c r="D105" s="22"/>
      <c r="E105" s="23" t="n">
        <f aca="false">IF(AND(D105=1,C105&lt;&gt;""),LEN(C105)+sensor_over_b,0)</f>
        <v>0</v>
      </c>
      <c r="F105" s="23" t="n">
        <f aca="false">IF(AND(E105&gt;0,COUNTIFS(B$6:B105,B105,D$6:D105,1,C$6:C105,"&lt;&gt;")=1),LEN(B105)+device_over_b,0)</f>
        <v>0</v>
      </c>
    </row>
    <row r="106" customFormat="false" ht="15" hidden="false" customHeight="false" outlineLevel="0" collapsed="false">
      <c r="A106" s="3" t="n">
        <v>101</v>
      </c>
      <c r="B106" s="22"/>
      <c r="C106" s="22"/>
      <c r="D106" s="22"/>
      <c r="E106" s="23" t="n">
        <f aca="false">IF(AND(D106=1,C106&lt;&gt;""),LEN(C106)+sensor_over_b,0)</f>
        <v>0</v>
      </c>
      <c r="F106" s="23" t="n">
        <f aca="false">IF(AND(E106&gt;0,COUNTIFS(B$6:B106,B106,D$6:D106,1,C$6:C106,"&lt;&gt;")=1),LEN(B106)+device_over_b,0)</f>
        <v>0</v>
      </c>
    </row>
    <row r="107" customFormat="false" ht="15" hidden="false" customHeight="false" outlineLevel="0" collapsed="false">
      <c r="A107" s="3" t="n">
        <v>102</v>
      </c>
      <c r="B107" s="22"/>
      <c r="C107" s="22"/>
      <c r="D107" s="22"/>
      <c r="E107" s="23" t="n">
        <f aca="false">IF(AND(D107=1,C107&lt;&gt;""),LEN(C107)+sensor_over_b,0)</f>
        <v>0</v>
      </c>
      <c r="F107" s="23" t="n">
        <f aca="false">IF(AND(E107&gt;0,COUNTIFS(B$6:B107,B107,D$6:D107,1,C$6:C107,"&lt;&gt;")=1),LEN(B107)+device_over_b,0)</f>
        <v>0</v>
      </c>
    </row>
    <row r="108" customFormat="false" ht="15" hidden="false" customHeight="false" outlineLevel="0" collapsed="false">
      <c r="A108" s="3" t="n">
        <v>103</v>
      </c>
      <c r="B108" s="22"/>
      <c r="C108" s="22"/>
      <c r="D108" s="22"/>
      <c r="E108" s="23" t="n">
        <f aca="false">IF(AND(D108=1,C108&lt;&gt;""),LEN(C108)+sensor_over_b,0)</f>
        <v>0</v>
      </c>
      <c r="F108" s="23" t="n">
        <f aca="false">IF(AND(E108&gt;0,COUNTIFS(B$6:B108,B108,D$6:D108,1,C$6:C108,"&lt;&gt;")=1),LEN(B108)+device_over_b,0)</f>
        <v>0</v>
      </c>
    </row>
    <row r="109" customFormat="false" ht="15" hidden="false" customHeight="false" outlineLevel="0" collapsed="false">
      <c r="A109" s="3" t="n">
        <v>104</v>
      </c>
      <c r="B109" s="22"/>
      <c r="C109" s="22"/>
      <c r="D109" s="22"/>
      <c r="E109" s="23" t="n">
        <f aca="false">IF(AND(D109=1,C109&lt;&gt;""),LEN(C109)+sensor_over_b,0)</f>
        <v>0</v>
      </c>
      <c r="F109" s="23" t="n">
        <f aca="false">IF(AND(E109&gt;0,COUNTIFS(B$6:B109,B109,D$6:D109,1,C$6:C109,"&lt;&gt;")=1),LEN(B109)+device_over_b,0)</f>
        <v>0</v>
      </c>
    </row>
    <row r="110" customFormat="false" ht="15" hidden="false" customHeight="false" outlineLevel="0" collapsed="false">
      <c r="A110" s="3" t="n">
        <v>105</v>
      </c>
      <c r="B110" s="22"/>
      <c r="C110" s="22"/>
      <c r="D110" s="22"/>
      <c r="E110" s="23" t="n">
        <f aca="false">IF(AND(D110=1,C110&lt;&gt;""),LEN(C110)+sensor_over_b,0)</f>
        <v>0</v>
      </c>
      <c r="F110" s="23" t="n">
        <f aca="false">IF(AND(E110&gt;0,COUNTIFS(B$6:B110,B110,D$6:D110,1,C$6:C110,"&lt;&gt;")=1),LEN(B110)+device_over_b,0)</f>
        <v>0</v>
      </c>
    </row>
    <row r="111" customFormat="false" ht="15" hidden="false" customHeight="false" outlineLevel="0" collapsed="false">
      <c r="A111" s="3" t="n">
        <v>106</v>
      </c>
      <c r="B111" s="22"/>
      <c r="C111" s="22"/>
      <c r="D111" s="22"/>
      <c r="E111" s="23" t="n">
        <f aca="false">IF(AND(D111=1,C111&lt;&gt;""),LEN(C111)+sensor_over_b,0)</f>
        <v>0</v>
      </c>
      <c r="F111" s="23" t="n">
        <f aca="false">IF(AND(E111&gt;0,COUNTIFS(B$6:B111,B111,D$6:D111,1,C$6:C111,"&lt;&gt;")=1),LEN(B111)+device_over_b,0)</f>
        <v>0</v>
      </c>
    </row>
    <row r="112" customFormat="false" ht="15" hidden="false" customHeight="false" outlineLevel="0" collapsed="false">
      <c r="A112" s="3" t="n">
        <v>107</v>
      </c>
      <c r="B112" s="22"/>
      <c r="C112" s="22"/>
      <c r="D112" s="22"/>
      <c r="E112" s="23" t="n">
        <f aca="false">IF(AND(D112=1,C112&lt;&gt;""),LEN(C112)+sensor_over_b,0)</f>
        <v>0</v>
      </c>
      <c r="F112" s="23" t="n">
        <f aca="false">IF(AND(E112&gt;0,COUNTIFS(B$6:B112,B112,D$6:D112,1,C$6:C112,"&lt;&gt;")=1),LEN(B112)+device_over_b,0)</f>
        <v>0</v>
      </c>
    </row>
    <row r="113" customFormat="false" ht="15" hidden="false" customHeight="false" outlineLevel="0" collapsed="false">
      <c r="A113" s="3" t="n">
        <v>108</v>
      </c>
      <c r="B113" s="22"/>
      <c r="C113" s="22"/>
      <c r="D113" s="22"/>
      <c r="E113" s="23" t="n">
        <f aca="false">IF(AND(D113=1,C113&lt;&gt;""),LEN(C113)+sensor_over_b,0)</f>
        <v>0</v>
      </c>
      <c r="F113" s="23" t="n">
        <f aca="false">IF(AND(E113&gt;0,COUNTIFS(B$6:B113,B113,D$6:D113,1,C$6:C113,"&lt;&gt;")=1),LEN(B113)+device_over_b,0)</f>
        <v>0</v>
      </c>
    </row>
    <row r="114" customFormat="false" ht="15" hidden="false" customHeight="false" outlineLevel="0" collapsed="false">
      <c r="A114" s="3" t="n">
        <v>109</v>
      </c>
      <c r="B114" s="22"/>
      <c r="C114" s="22"/>
      <c r="D114" s="22"/>
      <c r="E114" s="23" t="n">
        <f aca="false">IF(AND(D114=1,C114&lt;&gt;""),LEN(C114)+sensor_over_b,0)</f>
        <v>0</v>
      </c>
      <c r="F114" s="23" t="n">
        <f aca="false">IF(AND(E114&gt;0,COUNTIFS(B$6:B114,B114,D$6:D114,1,C$6:C114,"&lt;&gt;")=1),LEN(B114)+device_over_b,0)</f>
        <v>0</v>
      </c>
    </row>
    <row r="115" customFormat="false" ht="15" hidden="false" customHeight="false" outlineLevel="0" collapsed="false">
      <c r="A115" s="3" t="n">
        <v>110</v>
      </c>
      <c r="B115" s="22"/>
      <c r="C115" s="22"/>
      <c r="D115" s="22"/>
      <c r="E115" s="23" t="n">
        <f aca="false">IF(AND(D115=1,C115&lt;&gt;""),LEN(C115)+sensor_over_b,0)</f>
        <v>0</v>
      </c>
      <c r="F115" s="23" t="n">
        <f aca="false">IF(AND(E115&gt;0,COUNTIFS(B$6:B115,B115,D$6:D115,1,C$6:C115,"&lt;&gt;")=1),LEN(B115)+device_over_b,0)</f>
        <v>0</v>
      </c>
    </row>
    <row r="116" customFormat="false" ht="15" hidden="false" customHeight="false" outlineLevel="0" collapsed="false">
      <c r="A116" s="3" t="n">
        <v>111</v>
      </c>
      <c r="B116" s="22"/>
      <c r="C116" s="22"/>
      <c r="D116" s="22"/>
      <c r="E116" s="23" t="n">
        <f aca="false">IF(AND(D116=1,C116&lt;&gt;""),LEN(C116)+sensor_over_b,0)</f>
        <v>0</v>
      </c>
      <c r="F116" s="23" t="n">
        <f aca="false">IF(AND(E116&gt;0,COUNTIFS(B$6:B116,B116,D$6:D116,1,C$6:C116,"&lt;&gt;")=1),LEN(B116)+device_over_b,0)</f>
        <v>0</v>
      </c>
    </row>
    <row r="117" customFormat="false" ht="15" hidden="false" customHeight="false" outlineLevel="0" collapsed="false">
      <c r="A117" s="3" t="n">
        <v>112</v>
      </c>
      <c r="B117" s="22"/>
      <c r="C117" s="22"/>
      <c r="D117" s="22"/>
      <c r="E117" s="23" t="n">
        <f aca="false">IF(AND(D117=1,C117&lt;&gt;""),LEN(C117)+sensor_over_b,0)</f>
        <v>0</v>
      </c>
      <c r="F117" s="23" t="n">
        <f aca="false">IF(AND(E117&gt;0,COUNTIFS(B$6:B117,B117,D$6:D117,1,C$6:C117,"&lt;&gt;")=1),LEN(B117)+device_over_b,0)</f>
        <v>0</v>
      </c>
    </row>
    <row r="118" customFormat="false" ht="15" hidden="false" customHeight="false" outlineLevel="0" collapsed="false">
      <c r="A118" s="3" t="n">
        <v>113</v>
      </c>
      <c r="B118" s="22"/>
      <c r="C118" s="22"/>
      <c r="D118" s="22"/>
      <c r="E118" s="23" t="n">
        <f aca="false">IF(AND(D118=1,C118&lt;&gt;""),LEN(C118)+sensor_over_b,0)</f>
        <v>0</v>
      </c>
      <c r="F118" s="23" t="n">
        <f aca="false">IF(AND(E118&gt;0,COUNTIFS(B$6:B118,B118,D$6:D118,1,C$6:C118,"&lt;&gt;")=1),LEN(B118)+device_over_b,0)</f>
        <v>0</v>
      </c>
    </row>
    <row r="119" customFormat="false" ht="15" hidden="false" customHeight="false" outlineLevel="0" collapsed="false">
      <c r="A119" s="3" t="n">
        <v>114</v>
      </c>
      <c r="B119" s="22"/>
      <c r="C119" s="22"/>
      <c r="D119" s="22"/>
      <c r="E119" s="23" t="n">
        <f aca="false">IF(AND(D119=1,C119&lt;&gt;""),LEN(C119)+sensor_over_b,0)</f>
        <v>0</v>
      </c>
      <c r="F119" s="23" t="n">
        <f aca="false">IF(AND(E119&gt;0,COUNTIFS(B$6:B119,B119,D$6:D119,1,C$6:C119,"&lt;&gt;")=1),LEN(B119)+device_over_b,0)</f>
        <v>0</v>
      </c>
    </row>
    <row r="120" customFormat="false" ht="15" hidden="false" customHeight="false" outlineLevel="0" collapsed="false">
      <c r="A120" s="3" t="n">
        <v>115</v>
      </c>
      <c r="B120" s="22"/>
      <c r="C120" s="22"/>
      <c r="D120" s="22"/>
      <c r="E120" s="23" t="n">
        <f aca="false">IF(AND(D120=1,C120&lt;&gt;""),LEN(C120)+sensor_over_b,0)</f>
        <v>0</v>
      </c>
      <c r="F120" s="23" t="n">
        <f aca="false">IF(AND(E120&gt;0,COUNTIFS(B$6:B120,B120,D$6:D120,1,C$6:C120,"&lt;&gt;")=1),LEN(B120)+device_over_b,0)</f>
        <v>0</v>
      </c>
    </row>
    <row r="121" customFormat="false" ht="15" hidden="false" customHeight="false" outlineLevel="0" collapsed="false">
      <c r="A121" s="3" t="n">
        <v>116</v>
      </c>
      <c r="B121" s="22"/>
      <c r="C121" s="22"/>
      <c r="D121" s="22"/>
      <c r="E121" s="23" t="n">
        <f aca="false">IF(AND(D121=1,C121&lt;&gt;""),LEN(C121)+sensor_over_b,0)</f>
        <v>0</v>
      </c>
      <c r="F121" s="23" t="n">
        <f aca="false">IF(AND(E121&gt;0,COUNTIFS(B$6:B121,B121,D$6:D121,1,C$6:C121,"&lt;&gt;")=1),LEN(B121)+device_over_b,0)</f>
        <v>0</v>
      </c>
    </row>
    <row r="122" customFormat="false" ht="15" hidden="false" customHeight="false" outlineLevel="0" collapsed="false">
      <c r="A122" s="3" t="n">
        <v>117</v>
      </c>
      <c r="B122" s="22"/>
      <c r="C122" s="22"/>
      <c r="D122" s="22"/>
      <c r="E122" s="23" t="n">
        <f aca="false">IF(AND(D122=1,C122&lt;&gt;""),LEN(C122)+sensor_over_b,0)</f>
        <v>0</v>
      </c>
      <c r="F122" s="23" t="n">
        <f aca="false">IF(AND(E122&gt;0,COUNTIFS(B$6:B122,B122,D$6:D122,1,C$6:C122,"&lt;&gt;")=1),LEN(B122)+device_over_b,0)</f>
        <v>0</v>
      </c>
    </row>
    <row r="123" customFormat="false" ht="15" hidden="false" customHeight="false" outlineLevel="0" collapsed="false">
      <c r="A123" s="3" t="n">
        <v>118</v>
      </c>
      <c r="B123" s="22"/>
      <c r="C123" s="22"/>
      <c r="D123" s="22"/>
      <c r="E123" s="23" t="n">
        <f aca="false">IF(AND(D123=1,C123&lt;&gt;""),LEN(C123)+sensor_over_b,0)</f>
        <v>0</v>
      </c>
      <c r="F123" s="23" t="n">
        <f aca="false">IF(AND(E123&gt;0,COUNTIFS(B$6:B123,B123,D$6:D123,1,C$6:C123,"&lt;&gt;")=1),LEN(B123)+device_over_b,0)</f>
        <v>0</v>
      </c>
    </row>
    <row r="124" customFormat="false" ht="15" hidden="false" customHeight="false" outlineLevel="0" collapsed="false">
      <c r="A124" s="3" t="n">
        <v>119</v>
      </c>
      <c r="B124" s="22"/>
      <c r="C124" s="22"/>
      <c r="D124" s="22"/>
      <c r="E124" s="23" t="n">
        <f aca="false">IF(AND(D124=1,C124&lt;&gt;""),LEN(C124)+sensor_over_b,0)</f>
        <v>0</v>
      </c>
      <c r="F124" s="23" t="n">
        <f aca="false">IF(AND(E124&gt;0,COUNTIFS(B$6:B124,B124,D$6:D124,1,C$6:C124,"&lt;&gt;")=1),LEN(B124)+device_over_b,0)</f>
        <v>0</v>
      </c>
    </row>
    <row r="125" customFormat="false" ht="15" hidden="false" customHeight="false" outlineLevel="0" collapsed="false">
      <c r="A125" s="3" t="n">
        <v>120</v>
      </c>
      <c r="B125" s="22"/>
      <c r="C125" s="22"/>
      <c r="D125" s="22"/>
      <c r="E125" s="23" t="n">
        <f aca="false">IF(AND(D125=1,C125&lt;&gt;""),LEN(C125)+sensor_over_b,0)</f>
        <v>0</v>
      </c>
      <c r="F125" s="23" t="n">
        <f aca="false">IF(AND(E125&gt;0,COUNTIFS(B$6:B125,B125,D$6:D125,1,C$6:C125,"&lt;&gt;")=1),LEN(B125)+device_over_b,0)</f>
        <v>0</v>
      </c>
    </row>
    <row r="126" customFormat="false" ht="15" hidden="false" customHeight="false" outlineLevel="0" collapsed="false">
      <c r="A126" s="3" t="n">
        <v>121</v>
      </c>
      <c r="B126" s="22"/>
      <c r="C126" s="22"/>
      <c r="D126" s="22"/>
      <c r="E126" s="23" t="n">
        <f aca="false">IF(AND(D126=1,C126&lt;&gt;""),LEN(C126)+sensor_over_b,0)</f>
        <v>0</v>
      </c>
      <c r="F126" s="23" t="n">
        <f aca="false">IF(AND(E126&gt;0,COUNTIFS(B$6:B126,B126,D$6:D126,1,C$6:C126,"&lt;&gt;")=1),LEN(B126)+device_over_b,0)</f>
        <v>0</v>
      </c>
    </row>
    <row r="127" customFormat="false" ht="15" hidden="false" customHeight="false" outlineLevel="0" collapsed="false">
      <c r="A127" s="3" t="n">
        <v>122</v>
      </c>
      <c r="B127" s="22"/>
      <c r="C127" s="22"/>
      <c r="D127" s="22"/>
      <c r="E127" s="23" t="n">
        <f aca="false">IF(AND(D127=1,C127&lt;&gt;""),LEN(C127)+sensor_over_b,0)</f>
        <v>0</v>
      </c>
      <c r="F127" s="23" t="n">
        <f aca="false">IF(AND(E127&gt;0,COUNTIFS(B$6:B127,B127,D$6:D127,1,C$6:C127,"&lt;&gt;")=1),LEN(B127)+device_over_b,0)</f>
        <v>0</v>
      </c>
    </row>
    <row r="128" customFormat="false" ht="15" hidden="false" customHeight="false" outlineLevel="0" collapsed="false">
      <c r="A128" s="3" t="n">
        <v>123</v>
      </c>
      <c r="B128" s="22"/>
      <c r="C128" s="22"/>
      <c r="D128" s="22"/>
      <c r="E128" s="23" t="n">
        <f aca="false">IF(AND(D128=1,C128&lt;&gt;""),LEN(C128)+sensor_over_b,0)</f>
        <v>0</v>
      </c>
      <c r="F128" s="23" t="n">
        <f aca="false">IF(AND(E128&gt;0,COUNTIFS(B$6:B128,B128,D$6:D128,1,C$6:C128,"&lt;&gt;")=1),LEN(B128)+device_over_b,0)</f>
        <v>0</v>
      </c>
    </row>
    <row r="129" customFormat="false" ht="15" hidden="false" customHeight="false" outlineLevel="0" collapsed="false">
      <c r="A129" s="3" t="n">
        <v>124</v>
      </c>
      <c r="B129" s="22"/>
      <c r="C129" s="22"/>
      <c r="D129" s="22"/>
      <c r="E129" s="23" t="n">
        <f aca="false">IF(AND(D129=1,C129&lt;&gt;""),LEN(C129)+sensor_over_b,0)</f>
        <v>0</v>
      </c>
      <c r="F129" s="23" t="n">
        <f aca="false">IF(AND(E129&gt;0,COUNTIFS(B$6:B129,B129,D$6:D129,1,C$6:C129,"&lt;&gt;")=1),LEN(B129)+device_over_b,0)</f>
        <v>0</v>
      </c>
    </row>
    <row r="130" customFormat="false" ht="15" hidden="false" customHeight="false" outlineLevel="0" collapsed="false">
      <c r="A130" s="3" t="n">
        <v>125</v>
      </c>
      <c r="B130" s="22"/>
      <c r="C130" s="22"/>
      <c r="D130" s="22"/>
      <c r="E130" s="23" t="n">
        <f aca="false">IF(AND(D130=1,C130&lt;&gt;""),LEN(C130)+sensor_over_b,0)</f>
        <v>0</v>
      </c>
      <c r="F130" s="23" t="n">
        <f aca="false">IF(AND(E130&gt;0,COUNTIFS(B$6:B130,B130,D$6:D130,1,C$6:C130,"&lt;&gt;")=1),LEN(B130)+device_over_b,0)</f>
        <v>0</v>
      </c>
    </row>
    <row r="131" customFormat="false" ht="15" hidden="false" customHeight="false" outlineLevel="0" collapsed="false">
      <c r="A131" s="3" t="n">
        <v>126</v>
      </c>
      <c r="B131" s="22"/>
      <c r="C131" s="22"/>
      <c r="D131" s="22"/>
      <c r="E131" s="23" t="n">
        <f aca="false">IF(AND(D131=1,C131&lt;&gt;""),LEN(C131)+sensor_over_b,0)</f>
        <v>0</v>
      </c>
      <c r="F131" s="23" t="n">
        <f aca="false">IF(AND(E131&gt;0,COUNTIFS(B$6:B131,B131,D$6:D131,1,C$6:C131,"&lt;&gt;")=1),LEN(B131)+device_over_b,0)</f>
        <v>0</v>
      </c>
    </row>
    <row r="132" customFormat="false" ht="15" hidden="false" customHeight="false" outlineLevel="0" collapsed="false">
      <c r="A132" s="3" t="n">
        <v>127</v>
      </c>
      <c r="B132" s="22"/>
      <c r="C132" s="22"/>
      <c r="D132" s="22"/>
      <c r="E132" s="23" t="n">
        <f aca="false">IF(AND(D132=1,C132&lt;&gt;""),LEN(C132)+sensor_over_b,0)</f>
        <v>0</v>
      </c>
      <c r="F132" s="23" t="n">
        <f aca="false">IF(AND(E132&gt;0,COUNTIFS(B$6:B132,B132,D$6:D132,1,C$6:C132,"&lt;&gt;")=1),LEN(B132)+device_over_b,0)</f>
        <v>0</v>
      </c>
    </row>
    <row r="133" customFormat="false" ht="15" hidden="false" customHeight="false" outlineLevel="0" collapsed="false">
      <c r="A133" s="3" t="n">
        <v>128</v>
      </c>
      <c r="B133" s="22"/>
      <c r="C133" s="22"/>
      <c r="D133" s="22"/>
      <c r="E133" s="23" t="n">
        <f aca="false">IF(AND(D133=1,C133&lt;&gt;""),LEN(C133)+sensor_over_b,0)</f>
        <v>0</v>
      </c>
      <c r="F133" s="23" t="n">
        <f aca="false">IF(AND(E133&gt;0,COUNTIFS(B$6:B133,B133,D$6:D133,1,C$6:C133,"&lt;&gt;")=1),LEN(B133)+device_over_b,0)</f>
        <v>0</v>
      </c>
    </row>
    <row r="134" customFormat="false" ht="15" hidden="false" customHeight="false" outlineLevel="0" collapsed="false">
      <c r="A134" s="3" t="n">
        <v>129</v>
      </c>
      <c r="B134" s="22"/>
      <c r="C134" s="22"/>
      <c r="D134" s="22"/>
      <c r="E134" s="23" t="n">
        <f aca="false">IF(AND(D134=1,C134&lt;&gt;""),LEN(C134)+sensor_over_b,0)</f>
        <v>0</v>
      </c>
      <c r="F134" s="23" t="n">
        <f aca="false">IF(AND(E134&gt;0,COUNTIFS(B$6:B134,B134,D$6:D134,1,C$6:C134,"&lt;&gt;")=1),LEN(B134)+device_over_b,0)</f>
        <v>0</v>
      </c>
    </row>
    <row r="135" customFormat="false" ht="15" hidden="false" customHeight="false" outlineLevel="0" collapsed="false">
      <c r="A135" s="3" t="n">
        <v>130</v>
      </c>
      <c r="B135" s="22"/>
      <c r="C135" s="22"/>
      <c r="D135" s="22"/>
      <c r="E135" s="23" t="n">
        <f aca="false">IF(AND(D135=1,C135&lt;&gt;""),LEN(C135)+sensor_over_b,0)</f>
        <v>0</v>
      </c>
      <c r="F135" s="23" t="n">
        <f aca="false">IF(AND(E135&gt;0,COUNTIFS(B$6:B135,B135,D$6:D135,1,C$6:C135,"&lt;&gt;")=1),LEN(B135)+device_over_b,0)</f>
        <v>0</v>
      </c>
    </row>
    <row r="136" customFormat="false" ht="15" hidden="false" customHeight="false" outlineLevel="0" collapsed="false">
      <c r="A136" s="3" t="n">
        <v>131</v>
      </c>
      <c r="B136" s="22"/>
      <c r="C136" s="22"/>
      <c r="D136" s="22"/>
      <c r="E136" s="23" t="n">
        <f aca="false">IF(AND(D136=1,C136&lt;&gt;""),LEN(C136)+sensor_over_b,0)</f>
        <v>0</v>
      </c>
      <c r="F136" s="23" t="n">
        <f aca="false">IF(AND(E136&gt;0,COUNTIFS(B$6:B136,B136,D$6:D136,1,C$6:C136,"&lt;&gt;")=1),LEN(B136)+device_over_b,0)</f>
        <v>0</v>
      </c>
    </row>
    <row r="137" customFormat="false" ht="15" hidden="false" customHeight="false" outlineLevel="0" collapsed="false">
      <c r="A137" s="3" t="n">
        <v>132</v>
      </c>
      <c r="B137" s="22"/>
      <c r="C137" s="22"/>
      <c r="D137" s="22"/>
      <c r="E137" s="23" t="n">
        <f aca="false">IF(AND(D137=1,C137&lt;&gt;""),LEN(C137)+sensor_over_b,0)</f>
        <v>0</v>
      </c>
      <c r="F137" s="23" t="n">
        <f aca="false">IF(AND(E137&gt;0,COUNTIFS(B$6:B137,B137,D$6:D137,1,C$6:C137,"&lt;&gt;")=1),LEN(B137)+device_over_b,0)</f>
        <v>0</v>
      </c>
    </row>
    <row r="138" customFormat="false" ht="15" hidden="false" customHeight="false" outlineLevel="0" collapsed="false">
      <c r="A138" s="3" t="n">
        <v>133</v>
      </c>
      <c r="B138" s="22"/>
      <c r="C138" s="22"/>
      <c r="D138" s="22"/>
      <c r="E138" s="23" t="n">
        <f aca="false">IF(AND(D138=1,C138&lt;&gt;""),LEN(C138)+sensor_over_b,0)</f>
        <v>0</v>
      </c>
      <c r="F138" s="23" t="n">
        <f aca="false">IF(AND(E138&gt;0,COUNTIFS(B$6:B138,B138,D$6:D138,1,C$6:C138,"&lt;&gt;")=1),LEN(B138)+device_over_b,0)</f>
        <v>0</v>
      </c>
    </row>
    <row r="139" customFormat="false" ht="15" hidden="false" customHeight="false" outlineLevel="0" collapsed="false">
      <c r="A139" s="3" t="n">
        <v>134</v>
      </c>
      <c r="B139" s="22"/>
      <c r="C139" s="22"/>
      <c r="D139" s="22"/>
      <c r="E139" s="23" t="n">
        <f aca="false">IF(AND(D139=1,C139&lt;&gt;""),LEN(C139)+sensor_over_b,0)</f>
        <v>0</v>
      </c>
      <c r="F139" s="23" t="n">
        <f aca="false">IF(AND(E139&gt;0,COUNTIFS(B$6:B139,B139,D$6:D139,1,C$6:C139,"&lt;&gt;")=1),LEN(B139)+device_over_b,0)</f>
        <v>0</v>
      </c>
    </row>
    <row r="140" customFormat="false" ht="15" hidden="false" customHeight="false" outlineLevel="0" collapsed="false">
      <c r="A140" s="3" t="n">
        <v>135</v>
      </c>
      <c r="B140" s="22"/>
      <c r="C140" s="22"/>
      <c r="D140" s="22"/>
      <c r="E140" s="23" t="n">
        <f aca="false">IF(AND(D140=1,C140&lt;&gt;""),LEN(C140)+sensor_over_b,0)</f>
        <v>0</v>
      </c>
      <c r="F140" s="23" t="n">
        <f aca="false">IF(AND(E140&gt;0,COUNTIFS(B$6:B140,B140,D$6:D140,1,C$6:C140,"&lt;&gt;")=1),LEN(B140)+device_over_b,0)</f>
        <v>0</v>
      </c>
    </row>
    <row r="141" customFormat="false" ht="15" hidden="false" customHeight="false" outlineLevel="0" collapsed="false">
      <c r="A141" s="3" t="n">
        <v>136</v>
      </c>
      <c r="B141" s="22"/>
      <c r="C141" s="22"/>
      <c r="D141" s="22"/>
      <c r="E141" s="23" t="n">
        <f aca="false">IF(AND(D141=1,C141&lt;&gt;""),LEN(C141)+sensor_over_b,0)</f>
        <v>0</v>
      </c>
      <c r="F141" s="23" t="n">
        <f aca="false">IF(AND(E141&gt;0,COUNTIFS(B$6:B141,B141,D$6:D141,1,C$6:C141,"&lt;&gt;")=1),LEN(B141)+device_over_b,0)</f>
        <v>0</v>
      </c>
    </row>
    <row r="142" customFormat="false" ht="15" hidden="false" customHeight="false" outlineLevel="0" collapsed="false">
      <c r="A142" s="3" t="n">
        <v>137</v>
      </c>
      <c r="B142" s="22"/>
      <c r="C142" s="22"/>
      <c r="D142" s="22"/>
      <c r="E142" s="23" t="n">
        <f aca="false">IF(AND(D142=1,C142&lt;&gt;""),LEN(C142)+sensor_over_b,0)</f>
        <v>0</v>
      </c>
      <c r="F142" s="23" t="n">
        <f aca="false">IF(AND(E142&gt;0,COUNTIFS(B$6:B142,B142,D$6:D142,1,C$6:C142,"&lt;&gt;")=1),LEN(B142)+device_over_b,0)</f>
        <v>0</v>
      </c>
    </row>
    <row r="143" customFormat="false" ht="15" hidden="false" customHeight="false" outlineLevel="0" collapsed="false">
      <c r="A143" s="3" t="n">
        <v>138</v>
      </c>
      <c r="B143" s="22"/>
      <c r="C143" s="22"/>
      <c r="D143" s="22"/>
      <c r="E143" s="23" t="n">
        <f aca="false">IF(AND(D143=1,C143&lt;&gt;""),LEN(C143)+sensor_over_b,0)</f>
        <v>0</v>
      </c>
      <c r="F143" s="23" t="n">
        <f aca="false">IF(AND(E143&gt;0,COUNTIFS(B$6:B143,B143,D$6:D143,1,C$6:C143,"&lt;&gt;")=1),LEN(B143)+device_over_b,0)</f>
        <v>0</v>
      </c>
    </row>
    <row r="144" customFormat="false" ht="15" hidden="false" customHeight="false" outlineLevel="0" collapsed="false">
      <c r="A144" s="3" t="n">
        <v>139</v>
      </c>
      <c r="B144" s="22"/>
      <c r="C144" s="22"/>
      <c r="D144" s="22"/>
      <c r="E144" s="23" t="n">
        <f aca="false">IF(AND(D144=1,C144&lt;&gt;""),LEN(C144)+sensor_over_b,0)</f>
        <v>0</v>
      </c>
      <c r="F144" s="23" t="n">
        <f aca="false">IF(AND(E144&gt;0,COUNTIFS(B$6:B144,B144,D$6:D144,1,C$6:C144,"&lt;&gt;")=1),LEN(B144)+device_over_b,0)</f>
        <v>0</v>
      </c>
    </row>
    <row r="145" customFormat="false" ht="15" hidden="false" customHeight="false" outlineLevel="0" collapsed="false">
      <c r="A145" s="3" t="n">
        <v>140</v>
      </c>
      <c r="B145" s="22"/>
      <c r="C145" s="22"/>
      <c r="D145" s="22"/>
      <c r="E145" s="23" t="n">
        <f aca="false">IF(AND(D145=1,C145&lt;&gt;""),LEN(C145)+sensor_over_b,0)</f>
        <v>0</v>
      </c>
      <c r="F145" s="23" t="n">
        <f aca="false">IF(AND(E145&gt;0,COUNTIFS(B$6:B145,B145,D$6:D145,1,C$6:C145,"&lt;&gt;")=1),LEN(B145)+device_over_b,0)</f>
        <v>0</v>
      </c>
    </row>
    <row r="146" customFormat="false" ht="15" hidden="false" customHeight="false" outlineLevel="0" collapsed="false">
      <c r="A146" s="3" t="n">
        <v>141</v>
      </c>
      <c r="B146" s="22"/>
      <c r="C146" s="22"/>
      <c r="D146" s="22"/>
      <c r="E146" s="23" t="n">
        <f aca="false">IF(AND(D146=1,C146&lt;&gt;""),LEN(C146)+sensor_over_b,0)</f>
        <v>0</v>
      </c>
      <c r="F146" s="23" t="n">
        <f aca="false">IF(AND(E146&gt;0,COUNTIFS(B$6:B146,B146,D$6:D146,1,C$6:C146,"&lt;&gt;")=1),LEN(B146)+device_over_b,0)</f>
        <v>0</v>
      </c>
    </row>
    <row r="147" customFormat="false" ht="15" hidden="false" customHeight="false" outlineLevel="0" collapsed="false">
      <c r="A147" s="3" t="n">
        <v>142</v>
      </c>
      <c r="B147" s="22"/>
      <c r="C147" s="22"/>
      <c r="D147" s="22"/>
      <c r="E147" s="23" t="n">
        <f aca="false">IF(AND(D147=1,C147&lt;&gt;""),LEN(C147)+sensor_over_b,0)</f>
        <v>0</v>
      </c>
      <c r="F147" s="23" t="n">
        <f aca="false">IF(AND(E147&gt;0,COUNTIFS(B$6:B147,B147,D$6:D147,1,C$6:C147,"&lt;&gt;")=1),LEN(B147)+device_over_b,0)</f>
        <v>0</v>
      </c>
    </row>
    <row r="148" customFormat="false" ht="15" hidden="false" customHeight="false" outlineLevel="0" collapsed="false">
      <c r="A148" s="3" t="n">
        <v>143</v>
      </c>
      <c r="B148" s="22"/>
      <c r="C148" s="22"/>
      <c r="D148" s="22"/>
      <c r="E148" s="23" t="n">
        <f aca="false">IF(AND(D148=1,C148&lt;&gt;""),LEN(C148)+sensor_over_b,0)</f>
        <v>0</v>
      </c>
      <c r="F148" s="23" t="n">
        <f aca="false">IF(AND(E148&gt;0,COUNTIFS(B$6:B148,B148,D$6:D148,1,C$6:C148,"&lt;&gt;")=1),LEN(B148)+device_over_b,0)</f>
        <v>0</v>
      </c>
    </row>
    <row r="149" customFormat="false" ht="15" hidden="false" customHeight="false" outlineLevel="0" collapsed="false">
      <c r="A149" s="3" t="n">
        <v>144</v>
      </c>
      <c r="B149" s="22"/>
      <c r="C149" s="22"/>
      <c r="D149" s="22"/>
      <c r="E149" s="23" t="n">
        <f aca="false">IF(AND(D149=1,C149&lt;&gt;""),LEN(C149)+sensor_over_b,0)</f>
        <v>0</v>
      </c>
      <c r="F149" s="23" t="n">
        <f aca="false">IF(AND(E149&gt;0,COUNTIFS(B$6:B149,B149,D$6:D149,1,C$6:C149,"&lt;&gt;")=1),LEN(B149)+device_over_b,0)</f>
        <v>0</v>
      </c>
    </row>
    <row r="150" customFormat="false" ht="15" hidden="false" customHeight="false" outlineLevel="0" collapsed="false">
      <c r="A150" s="3" t="n">
        <v>145</v>
      </c>
      <c r="B150" s="22"/>
      <c r="C150" s="22"/>
      <c r="D150" s="22"/>
      <c r="E150" s="23" t="n">
        <f aca="false">IF(AND(D150=1,C150&lt;&gt;""),LEN(C150)+sensor_over_b,0)</f>
        <v>0</v>
      </c>
      <c r="F150" s="23" t="n">
        <f aca="false">IF(AND(E150&gt;0,COUNTIFS(B$6:B150,B150,D$6:D150,1,C$6:C150,"&lt;&gt;")=1),LEN(B150)+device_over_b,0)</f>
        <v>0</v>
      </c>
    </row>
    <row r="151" customFormat="false" ht="15" hidden="false" customHeight="false" outlineLevel="0" collapsed="false">
      <c r="A151" s="3" t="n">
        <v>146</v>
      </c>
      <c r="B151" s="22"/>
      <c r="C151" s="22"/>
      <c r="D151" s="22"/>
      <c r="E151" s="23" t="n">
        <f aca="false">IF(AND(D151=1,C151&lt;&gt;""),LEN(C151)+sensor_over_b,0)</f>
        <v>0</v>
      </c>
      <c r="F151" s="23" t="n">
        <f aca="false">IF(AND(E151&gt;0,COUNTIFS(B$6:B151,B151,D$6:D151,1,C$6:C151,"&lt;&gt;")=1),LEN(B151)+device_over_b,0)</f>
        <v>0</v>
      </c>
    </row>
    <row r="152" customFormat="false" ht="15" hidden="false" customHeight="false" outlineLevel="0" collapsed="false">
      <c r="A152" s="3" t="n">
        <v>147</v>
      </c>
      <c r="B152" s="22"/>
      <c r="C152" s="22"/>
      <c r="D152" s="22"/>
      <c r="E152" s="23" t="n">
        <f aca="false">IF(AND(D152=1,C152&lt;&gt;""),LEN(C152)+sensor_over_b,0)</f>
        <v>0</v>
      </c>
      <c r="F152" s="23" t="n">
        <f aca="false">IF(AND(E152&gt;0,COUNTIFS(B$6:B152,B152,D$6:D152,1,C$6:C152,"&lt;&gt;")=1),LEN(B152)+device_over_b,0)</f>
        <v>0</v>
      </c>
    </row>
    <row r="153" customFormat="false" ht="15" hidden="false" customHeight="false" outlineLevel="0" collapsed="false">
      <c r="A153" s="3" t="n">
        <v>148</v>
      </c>
      <c r="B153" s="22"/>
      <c r="C153" s="22"/>
      <c r="D153" s="22"/>
      <c r="E153" s="23" t="n">
        <f aca="false">IF(AND(D153=1,C153&lt;&gt;""),LEN(C153)+sensor_over_b,0)</f>
        <v>0</v>
      </c>
      <c r="F153" s="23" t="n">
        <f aca="false">IF(AND(E153&gt;0,COUNTIFS(B$6:B153,B153,D$6:D153,1,C$6:C153,"&lt;&gt;")=1),LEN(B153)+device_over_b,0)</f>
        <v>0</v>
      </c>
    </row>
    <row r="154" customFormat="false" ht="15" hidden="false" customHeight="false" outlineLevel="0" collapsed="false">
      <c r="A154" s="3" t="n">
        <v>149</v>
      </c>
      <c r="B154" s="22"/>
      <c r="C154" s="22"/>
      <c r="D154" s="22"/>
      <c r="E154" s="23" t="n">
        <f aca="false">IF(AND(D154=1,C154&lt;&gt;""),LEN(C154)+sensor_over_b,0)</f>
        <v>0</v>
      </c>
      <c r="F154" s="23" t="n">
        <f aca="false">IF(AND(E154&gt;0,COUNTIFS(B$6:B154,B154,D$6:D154,1,C$6:C154,"&lt;&gt;")=1),LEN(B154)+device_over_b,0)</f>
        <v>0</v>
      </c>
    </row>
    <row r="155" customFormat="false" ht="15" hidden="false" customHeight="false" outlineLevel="0" collapsed="false">
      <c r="A155" s="3" t="n">
        <v>150</v>
      </c>
      <c r="B155" s="22"/>
      <c r="C155" s="22"/>
      <c r="D155" s="22"/>
      <c r="E155" s="23" t="n">
        <f aca="false">IF(AND(D155=1,C155&lt;&gt;""),LEN(C155)+sensor_over_b,0)</f>
        <v>0</v>
      </c>
      <c r="F155" s="23" t="n">
        <f aca="false">IF(AND(E155&gt;0,COUNTIFS(B$6:B155,B155,D$6:D155,1,C$6:C155,"&lt;&gt;")=1),LEN(B155)+device_over_b,0)</f>
        <v>0</v>
      </c>
    </row>
    <row r="156" customFormat="false" ht="15" hidden="false" customHeight="false" outlineLevel="0" collapsed="false">
      <c r="A156" s="3" t="n">
        <v>151</v>
      </c>
      <c r="B156" s="22"/>
      <c r="C156" s="22"/>
      <c r="D156" s="22"/>
      <c r="E156" s="23" t="n">
        <f aca="false">IF(AND(D156=1,C156&lt;&gt;""),LEN(C156)+sensor_over_b,0)</f>
        <v>0</v>
      </c>
      <c r="F156" s="23" t="n">
        <f aca="false">IF(AND(E156&gt;0,COUNTIFS(B$6:B156,B156,D$6:D156,1,C$6:C156,"&lt;&gt;")=1),LEN(B156)+device_over_b,0)</f>
        <v>0</v>
      </c>
    </row>
    <row r="157" customFormat="false" ht="15" hidden="false" customHeight="false" outlineLevel="0" collapsed="false">
      <c r="A157" s="3" t="n">
        <v>152</v>
      </c>
      <c r="B157" s="22"/>
      <c r="C157" s="22"/>
      <c r="D157" s="22"/>
      <c r="E157" s="23" t="n">
        <f aca="false">IF(AND(D157=1,C157&lt;&gt;""),LEN(C157)+sensor_over_b,0)</f>
        <v>0</v>
      </c>
      <c r="F157" s="23" t="n">
        <f aca="false">IF(AND(E157&gt;0,COUNTIFS(B$6:B157,B157,D$6:D157,1,C$6:C157,"&lt;&gt;")=1),LEN(B157)+device_over_b,0)</f>
        <v>0</v>
      </c>
    </row>
    <row r="158" customFormat="false" ht="15" hidden="false" customHeight="false" outlineLevel="0" collapsed="false">
      <c r="A158" s="3" t="n">
        <v>153</v>
      </c>
      <c r="B158" s="22"/>
      <c r="C158" s="22"/>
      <c r="D158" s="22"/>
      <c r="E158" s="23" t="n">
        <f aca="false">IF(AND(D158=1,C158&lt;&gt;""),LEN(C158)+sensor_over_b,0)</f>
        <v>0</v>
      </c>
      <c r="F158" s="23" t="n">
        <f aca="false">IF(AND(E158&gt;0,COUNTIFS(B$6:B158,B158,D$6:D158,1,C$6:C158,"&lt;&gt;")=1),LEN(B158)+device_over_b,0)</f>
        <v>0</v>
      </c>
    </row>
    <row r="159" customFormat="false" ht="15" hidden="false" customHeight="false" outlineLevel="0" collapsed="false">
      <c r="A159" s="3" t="n">
        <v>154</v>
      </c>
      <c r="B159" s="22"/>
      <c r="C159" s="22"/>
      <c r="D159" s="22"/>
      <c r="E159" s="23" t="n">
        <f aca="false">IF(AND(D159=1,C159&lt;&gt;""),LEN(C159)+sensor_over_b,0)</f>
        <v>0</v>
      </c>
      <c r="F159" s="23" t="n">
        <f aca="false">IF(AND(E159&gt;0,COUNTIFS(B$6:B159,B159,D$6:D159,1,C$6:C159,"&lt;&gt;")=1),LEN(B159)+device_over_b,0)</f>
        <v>0</v>
      </c>
    </row>
    <row r="160" customFormat="false" ht="15" hidden="false" customHeight="false" outlineLevel="0" collapsed="false">
      <c r="A160" s="3" t="n">
        <v>155</v>
      </c>
      <c r="B160" s="22"/>
      <c r="C160" s="22"/>
      <c r="D160" s="22"/>
      <c r="E160" s="23" t="n">
        <f aca="false">IF(AND(D160=1,C160&lt;&gt;""),LEN(C160)+sensor_over_b,0)</f>
        <v>0</v>
      </c>
      <c r="F160" s="23" t="n">
        <f aca="false">IF(AND(E160&gt;0,COUNTIFS(B$6:B160,B160,D$6:D160,1,C$6:C160,"&lt;&gt;")=1),LEN(B160)+device_over_b,0)</f>
        <v>0</v>
      </c>
    </row>
    <row r="161" customFormat="false" ht="15" hidden="false" customHeight="false" outlineLevel="0" collapsed="false">
      <c r="A161" s="3" t="n">
        <v>156</v>
      </c>
      <c r="B161" s="22"/>
      <c r="C161" s="22"/>
      <c r="D161" s="22"/>
      <c r="E161" s="23" t="n">
        <f aca="false">IF(AND(D161=1,C161&lt;&gt;""),LEN(C161)+sensor_over_b,0)</f>
        <v>0</v>
      </c>
      <c r="F161" s="23" t="n">
        <f aca="false">IF(AND(E161&gt;0,COUNTIFS(B$6:B161,B161,D$6:D161,1,C$6:C161,"&lt;&gt;")=1),LEN(B161)+device_over_b,0)</f>
        <v>0</v>
      </c>
    </row>
    <row r="162" customFormat="false" ht="15" hidden="false" customHeight="false" outlineLevel="0" collapsed="false">
      <c r="A162" s="3" t="n">
        <v>157</v>
      </c>
      <c r="B162" s="22"/>
      <c r="C162" s="22"/>
      <c r="D162" s="22"/>
      <c r="E162" s="23" t="n">
        <f aca="false">IF(AND(D162=1,C162&lt;&gt;""),LEN(C162)+sensor_over_b,0)</f>
        <v>0</v>
      </c>
      <c r="F162" s="23" t="n">
        <f aca="false">IF(AND(E162&gt;0,COUNTIFS(B$6:B162,B162,D$6:D162,1,C$6:C162,"&lt;&gt;")=1),LEN(B162)+device_over_b,0)</f>
        <v>0</v>
      </c>
    </row>
    <row r="163" customFormat="false" ht="15" hidden="false" customHeight="false" outlineLevel="0" collapsed="false">
      <c r="A163" s="3" t="n">
        <v>158</v>
      </c>
      <c r="B163" s="22"/>
      <c r="C163" s="22"/>
      <c r="D163" s="22"/>
      <c r="E163" s="23" t="n">
        <f aca="false">IF(AND(D163=1,C163&lt;&gt;""),LEN(C163)+sensor_over_b,0)</f>
        <v>0</v>
      </c>
      <c r="F163" s="23" t="n">
        <f aca="false">IF(AND(E163&gt;0,COUNTIFS(B$6:B163,B163,D$6:D163,1,C$6:C163,"&lt;&gt;")=1),LEN(B163)+device_over_b,0)</f>
        <v>0</v>
      </c>
    </row>
    <row r="164" customFormat="false" ht="15" hidden="false" customHeight="false" outlineLevel="0" collapsed="false">
      <c r="A164" s="3" t="n">
        <v>159</v>
      </c>
      <c r="B164" s="22"/>
      <c r="C164" s="22"/>
      <c r="D164" s="22"/>
      <c r="E164" s="23" t="n">
        <f aca="false">IF(AND(D164=1,C164&lt;&gt;""),LEN(C164)+sensor_over_b,0)</f>
        <v>0</v>
      </c>
      <c r="F164" s="23" t="n">
        <f aca="false">IF(AND(E164&gt;0,COUNTIFS(B$6:B164,B164,D$6:D164,1,C$6:C164,"&lt;&gt;")=1),LEN(B164)+device_over_b,0)</f>
        <v>0</v>
      </c>
    </row>
    <row r="165" customFormat="false" ht="15" hidden="false" customHeight="false" outlineLevel="0" collapsed="false">
      <c r="A165" s="3" t="n">
        <v>160</v>
      </c>
      <c r="B165" s="22"/>
      <c r="C165" s="22"/>
      <c r="D165" s="22"/>
      <c r="E165" s="23" t="n">
        <f aca="false">IF(AND(D165=1,C165&lt;&gt;""),LEN(C165)+sensor_over_b,0)</f>
        <v>0</v>
      </c>
      <c r="F165" s="23" t="n">
        <f aca="false">IF(AND(E165&gt;0,COUNTIFS(B$6:B165,B165,D$6:D165,1,C$6:C165,"&lt;&gt;")=1),LEN(B165)+device_over_b,0)</f>
        <v>0</v>
      </c>
    </row>
    <row r="166" customFormat="false" ht="15" hidden="false" customHeight="false" outlineLevel="0" collapsed="false">
      <c r="A166" s="3" t="n">
        <v>161</v>
      </c>
      <c r="B166" s="22"/>
      <c r="C166" s="22"/>
      <c r="D166" s="22"/>
      <c r="E166" s="23" t="n">
        <f aca="false">IF(AND(D166=1,C166&lt;&gt;""),LEN(C166)+sensor_over_b,0)</f>
        <v>0</v>
      </c>
      <c r="F166" s="23" t="n">
        <f aca="false">IF(AND(E166&gt;0,COUNTIFS(B$6:B166,B166,D$6:D166,1,C$6:C166,"&lt;&gt;")=1),LEN(B166)+device_over_b,0)</f>
        <v>0</v>
      </c>
    </row>
    <row r="167" customFormat="false" ht="15" hidden="false" customHeight="false" outlineLevel="0" collapsed="false">
      <c r="A167" s="3" t="n">
        <v>162</v>
      </c>
      <c r="B167" s="22"/>
      <c r="C167" s="22"/>
      <c r="D167" s="22"/>
      <c r="E167" s="23" t="n">
        <f aca="false">IF(AND(D167=1,C167&lt;&gt;""),LEN(C167)+sensor_over_b,0)</f>
        <v>0</v>
      </c>
      <c r="F167" s="23" t="n">
        <f aca="false">IF(AND(E167&gt;0,COUNTIFS(B$6:B167,B167,D$6:D167,1,C$6:C167,"&lt;&gt;")=1),LEN(B167)+device_over_b,0)</f>
        <v>0</v>
      </c>
    </row>
    <row r="168" customFormat="false" ht="15" hidden="false" customHeight="false" outlineLevel="0" collapsed="false">
      <c r="A168" s="3" t="n">
        <v>163</v>
      </c>
      <c r="B168" s="22"/>
      <c r="C168" s="22"/>
      <c r="D168" s="22"/>
      <c r="E168" s="23" t="n">
        <f aca="false">IF(AND(D168=1,C168&lt;&gt;""),LEN(C168)+sensor_over_b,0)</f>
        <v>0</v>
      </c>
      <c r="F168" s="23" t="n">
        <f aca="false">IF(AND(E168&gt;0,COUNTIFS(B$6:B168,B168,D$6:D168,1,C$6:C168,"&lt;&gt;")=1),LEN(B168)+device_over_b,0)</f>
        <v>0</v>
      </c>
    </row>
    <row r="169" customFormat="false" ht="15" hidden="false" customHeight="false" outlineLevel="0" collapsed="false">
      <c r="A169" s="3" t="n">
        <v>164</v>
      </c>
      <c r="B169" s="22"/>
      <c r="C169" s="22"/>
      <c r="D169" s="22"/>
      <c r="E169" s="23" t="n">
        <f aca="false">IF(AND(D169=1,C169&lt;&gt;""),LEN(C169)+sensor_over_b,0)</f>
        <v>0</v>
      </c>
      <c r="F169" s="23" t="n">
        <f aca="false">IF(AND(E169&gt;0,COUNTIFS(B$6:B169,B169,D$6:D169,1,C$6:C169,"&lt;&gt;")=1),LEN(B169)+device_over_b,0)</f>
        <v>0</v>
      </c>
    </row>
    <row r="170" customFormat="false" ht="15" hidden="false" customHeight="false" outlineLevel="0" collapsed="false">
      <c r="A170" s="3" t="n">
        <v>165</v>
      </c>
      <c r="B170" s="22"/>
      <c r="C170" s="22"/>
      <c r="D170" s="22"/>
      <c r="E170" s="23" t="n">
        <f aca="false">IF(AND(D170=1,C170&lt;&gt;""),LEN(C170)+sensor_over_b,0)</f>
        <v>0</v>
      </c>
      <c r="F170" s="23" t="n">
        <f aca="false">IF(AND(E170&gt;0,COUNTIFS(B$6:B170,B170,D$6:D170,1,C$6:C170,"&lt;&gt;")=1),LEN(B170)+device_over_b,0)</f>
        <v>0</v>
      </c>
    </row>
    <row r="171" customFormat="false" ht="15" hidden="false" customHeight="false" outlineLevel="0" collapsed="false">
      <c r="A171" s="3" t="n">
        <v>166</v>
      </c>
      <c r="B171" s="22"/>
      <c r="C171" s="22"/>
      <c r="D171" s="22"/>
      <c r="E171" s="23" t="n">
        <f aca="false">IF(AND(D171=1,C171&lt;&gt;""),LEN(C171)+sensor_over_b,0)</f>
        <v>0</v>
      </c>
      <c r="F171" s="23" t="n">
        <f aca="false">IF(AND(E171&gt;0,COUNTIFS(B$6:B171,B171,D$6:D171,1,C$6:C171,"&lt;&gt;")=1),LEN(B171)+device_over_b,0)</f>
        <v>0</v>
      </c>
    </row>
    <row r="172" customFormat="false" ht="15" hidden="false" customHeight="false" outlineLevel="0" collapsed="false">
      <c r="A172" s="3" t="n">
        <v>167</v>
      </c>
      <c r="B172" s="22"/>
      <c r="C172" s="22"/>
      <c r="D172" s="22"/>
      <c r="E172" s="23" t="n">
        <f aca="false">IF(AND(D172=1,C172&lt;&gt;""),LEN(C172)+sensor_over_b,0)</f>
        <v>0</v>
      </c>
      <c r="F172" s="23" t="n">
        <f aca="false">IF(AND(E172&gt;0,COUNTIFS(B$6:B172,B172,D$6:D172,1,C$6:C172,"&lt;&gt;")=1),LEN(B172)+device_over_b,0)</f>
        <v>0</v>
      </c>
    </row>
    <row r="173" customFormat="false" ht="15" hidden="false" customHeight="false" outlineLevel="0" collapsed="false">
      <c r="A173" s="3" t="n">
        <v>168</v>
      </c>
      <c r="B173" s="22"/>
      <c r="C173" s="22"/>
      <c r="D173" s="22"/>
      <c r="E173" s="23" t="n">
        <f aca="false">IF(AND(D173=1,C173&lt;&gt;""),LEN(C173)+sensor_over_b,0)</f>
        <v>0</v>
      </c>
      <c r="F173" s="23" t="n">
        <f aca="false">IF(AND(E173&gt;0,COUNTIFS(B$6:B173,B173,D$6:D173,1,C$6:C173,"&lt;&gt;")=1),LEN(B173)+device_over_b,0)</f>
        <v>0</v>
      </c>
    </row>
    <row r="174" customFormat="false" ht="15" hidden="false" customHeight="false" outlineLevel="0" collapsed="false">
      <c r="A174" s="3" t="n">
        <v>169</v>
      </c>
      <c r="B174" s="22"/>
      <c r="C174" s="22"/>
      <c r="D174" s="22"/>
      <c r="E174" s="23" t="n">
        <f aca="false">IF(AND(D174=1,C174&lt;&gt;""),LEN(C174)+sensor_over_b,0)</f>
        <v>0</v>
      </c>
      <c r="F174" s="23" t="n">
        <f aca="false">IF(AND(E174&gt;0,COUNTIFS(B$6:B174,B174,D$6:D174,1,C$6:C174,"&lt;&gt;")=1),LEN(B174)+device_over_b,0)</f>
        <v>0</v>
      </c>
    </row>
    <row r="175" customFormat="false" ht="15" hidden="false" customHeight="false" outlineLevel="0" collapsed="false">
      <c r="A175" s="3" t="n">
        <v>170</v>
      </c>
      <c r="B175" s="22"/>
      <c r="C175" s="22"/>
      <c r="D175" s="22"/>
      <c r="E175" s="23" t="n">
        <f aca="false">IF(AND(D175=1,C175&lt;&gt;""),LEN(C175)+sensor_over_b,0)</f>
        <v>0</v>
      </c>
      <c r="F175" s="23" t="n">
        <f aca="false">IF(AND(E175&gt;0,COUNTIFS(B$6:B175,B175,D$6:D175,1,C$6:C175,"&lt;&gt;")=1),LEN(B175)+device_over_b,0)</f>
        <v>0</v>
      </c>
    </row>
    <row r="176" customFormat="false" ht="15" hidden="false" customHeight="false" outlineLevel="0" collapsed="false">
      <c r="A176" s="3" t="n">
        <v>171</v>
      </c>
      <c r="B176" s="22"/>
      <c r="C176" s="22"/>
      <c r="D176" s="22"/>
      <c r="E176" s="23" t="n">
        <f aca="false">IF(AND(D176=1,C176&lt;&gt;""),LEN(C176)+sensor_over_b,0)</f>
        <v>0</v>
      </c>
      <c r="F176" s="23" t="n">
        <f aca="false">IF(AND(E176&gt;0,COUNTIFS(B$6:B176,B176,D$6:D176,1,C$6:C176,"&lt;&gt;")=1),LEN(B176)+device_over_b,0)</f>
        <v>0</v>
      </c>
    </row>
    <row r="177" customFormat="false" ht="15" hidden="false" customHeight="false" outlineLevel="0" collapsed="false">
      <c r="A177" s="3" t="n">
        <v>172</v>
      </c>
      <c r="B177" s="22"/>
      <c r="C177" s="22"/>
      <c r="D177" s="22"/>
      <c r="E177" s="23" t="n">
        <f aca="false">IF(AND(D177=1,C177&lt;&gt;""),LEN(C177)+sensor_over_b,0)</f>
        <v>0</v>
      </c>
      <c r="F177" s="23" t="n">
        <f aca="false">IF(AND(E177&gt;0,COUNTIFS(B$6:B177,B177,D$6:D177,1,C$6:C177,"&lt;&gt;")=1),LEN(B177)+device_over_b,0)</f>
        <v>0</v>
      </c>
    </row>
    <row r="178" customFormat="false" ht="15" hidden="false" customHeight="false" outlineLevel="0" collapsed="false">
      <c r="A178" s="3" t="n">
        <v>173</v>
      </c>
      <c r="B178" s="22"/>
      <c r="C178" s="22"/>
      <c r="D178" s="22"/>
      <c r="E178" s="23" t="n">
        <f aca="false">IF(AND(D178=1,C178&lt;&gt;""),LEN(C178)+sensor_over_b,0)</f>
        <v>0</v>
      </c>
      <c r="F178" s="23" t="n">
        <f aca="false">IF(AND(E178&gt;0,COUNTIFS(B$6:B178,B178,D$6:D178,1,C$6:C178,"&lt;&gt;")=1),LEN(B178)+device_over_b,0)</f>
        <v>0</v>
      </c>
    </row>
    <row r="179" customFormat="false" ht="15" hidden="false" customHeight="false" outlineLevel="0" collapsed="false">
      <c r="A179" s="3" t="n">
        <v>174</v>
      </c>
      <c r="B179" s="22"/>
      <c r="C179" s="22"/>
      <c r="D179" s="22"/>
      <c r="E179" s="23" t="n">
        <f aca="false">IF(AND(D179=1,C179&lt;&gt;""),LEN(C179)+sensor_over_b,0)</f>
        <v>0</v>
      </c>
      <c r="F179" s="23" t="n">
        <f aca="false">IF(AND(E179&gt;0,COUNTIFS(B$6:B179,B179,D$6:D179,1,C$6:C179,"&lt;&gt;")=1),LEN(B179)+device_over_b,0)</f>
        <v>0</v>
      </c>
    </row>
    <row r="180" customFormat="false" ht="15" hidden="false" customHeight="false" outlineLevel="0" collapsed="false">
      <c r="A180" s="3" t="n">
        <v>175</v>
      </c>
      <c r="B180" s="22"/>
      <c r="C180" s="22"/>
      <c r="D180" s="22"/>
      <c r="E180" s="23" t="n">
        <f aca="false">IF(AND(D180=1,C180&lt;&gt;""),LEN(C180)+sensor_over_b,0)</f>
        <v>0</v>
      </c>
      <c r="F180" s="23" t="n">
        <f aca="false">IF(AND(E180&gt;0,COUNTIFS(B$6:B180,B180,D$6:D180,1,C$6:C180,"&lt;&gt;")=1),LEN(B180)+device_over_b,0)</f>
        <v>0</v>
      </c>
    </row>
    <row r="181" customFormat="false" ht="15" hidden="false" customHeight="false" outlineLevel="0" collapsed="false">
      <c r="A181" s="3" t="n">
        <v>176</v>
      </c>
      <c r="B181" s="22"/>
      <c r="C181" s="22"/>
      <c r="D181" s="22"/>
      <c r="E181" s="23" t="n">
        <f aca="false">IF(AND(D181=1,C181&lt;&gt;""),LEN(C181)+sensor_over_b,0)</f>
        <v>0</v>
      </c>
      <c r="F181" s="23" t="n">
        <f aca="false">IF(AND(E181&gt;0,COUNTIFS(B$6:B181,B181,D$6:D181,1,C$6:C181,"&lt;&gt;")=1),LEN(B181)+device_over_b,0)</f>
        <v>0</v>
      </c>
    </row>
    <row r="182" customFormat="false" ht="15" hidden="false" customHeight="false" outlineLevel="0" collapsed="false">
      <c r="A182" s="3" t="n">
        <v>177</v>
      </c>
      <c r="B182" s="22"/>
      <c r="C182" s="22"/>
      <c r="D182" s="22"/>
      <c r="E182" s="23" t="n">
        <f aca="false">IF(AND(D182=1,C182&lt;&gt;""),LEN(C182)+sensor_over_b,0)</f>
        <v>0</v>
      </c>
      <c r="F182" s="23" t="n">
        <f aca="false">IF(AND(E182&gt;0,COUNTIFS(B$6:B182,B182,D$6:D182,1,C$6:C182,"&lt;&gt;")=1),LEN(B182)+device_over_b,0)</f>
        <v>0</v>
      </c>
    </row>
    <row r="183" customFormat="false" ht="15" hidden="false" customHeight="false" outlineLevel="0" collapsed="false">
      <c r="A183" s="3" t="n">
        <v>178</v>
      </c>
      <c r="B183" s="22"/>
      <c r="C183" s="22"/>
      <c r="D183" s="22"/>
      <c r="E183" s="23" t="n">
        <f aca="false">IF(AND(D183=1,C183&lt;&gt;""),LEN(C183)+sensor_over_b,0)</f>
        <v>0</v>
      </c>
      <c r="F183" s="23" t="n">
        <f aca="false">IF(AND(E183&gt;0,COUNTIFS(B$6:B183,B183,D$6:D183,1,C$6:C183,"&lt;&gt;")=1),LEN(B183)+device_over_b,0)</f>
        <v>0</v>
      </c>
    </row>
    <row r="184" customFormat="false" ht="15" hidden="false" customHeight="false" outlineLevel="0" collapsed="false">
      <c r="A184" s="3" t="n">
        <v>179</v>
      </c>
      <c r="B184" s="22"/>
      <c r="C184" s="22"/>
      <c r="D184" s="22"/>
      <c r="E184" s="23" t="n">
        <f aca="false">IF(AND(D184=1,C184&lt;&gt;""),LEN(C184)+sensor_over_b,0)</f>
        <v>0</v>
      </c>
      <c r="F184" s="23" t="n">
        <f aca="false">IF(AND(E184&gt;0,COUNTIFS(B$6:B184,B184,D$6:D184,1,C$6:C184,"&lt;&gt;")=1),LEN(B184)+device_over_b,0)</f>
        <v>0</v>
      </c>
    </row>
    <row r="185" customFormat="false" ht="15" hidden="false" customHeight="false" outlineLevel="0" collapsed="false">
      <c r="A185" s="3" t="n">
        <v>180</v>
      </c>
      <c r="B185" s="22"/>
      <c r="C185" s="22"/>
      <c r="D185" s="22"/>
      <c r="E185" s="23" t="n">
        <f aca="false">IF(AND(D185=1,C185&lt;&gt;""),LEN(C185)+sensor_over_b,0)</f>
        <v>0</v>
      </c>
      <c r="F185" s="23" t="n">
        <f aca="false">IF(AND(E185&gt;0,COUNTIFS(B$6:B185,B185,D$6:D185,1,C$6:C185,"&lt;&gt;")=1),LEN(B185)+device_over_b,0)</f>
        <v>0</v>
      </c>
    </row>
    <row r="186" customFormat="false" ht="15" hidden="false" customHeight="false" outlineLevel="0" collapsed="false">
      <c r="A186" s="3" t="n">
        <v>181</v>
      </c>
      <c r="B186" s="22"/>
      <c r="C186" s="22"/>
      <c r="D186" s="22"/>
      <c r="E186" s="23" t="n">
        <f aca="false">IF(AND(D186=1,C186&lt;&gt;""),LEN(C186)+sensor_over_b,0)</f>
        <v>0</v>
      </c>
      <c r="F186" s="23" t="n">
        <f aca="false">IF(AND(E186&gt;0,COUNTIFS(B$6:B186,B186,D$6:D186,1,C$6:C186,"&lt;&gt;")=1),LEN(B186)+device_over_b,0)</f>
        <v>0</v>
      </c>
    </row>
    <row r="187" customFormat="false" ht="15" hidden="false" customHeight="false" outlineLevel="0" collapsed="false">
      <c r="A187" s="3" t="n">
        <v>182</v>
      </c>
      <c r="B187" s="22"/>
      <c r="C187" s="22"/>
      <c r="D187" s="22"/>
      <c r="E187" s="23" t="n">
        <f aca="false">IF(AND(D187=1,C187&lt;&gt;""),LEN(C187)+sensor_over_b,0)</f>
        <v>0</v>
      </c>
      <c r="F187" s="23" t="n">
        <f aca="false">IF(AND(E187&gt;0,COUNTIFS(B$6:B187,B187,D$6:D187,1,C$6:C187,"&lt;&gt;")=1),LEN(B187)+device_over_b,0)</f>
        <v>0</v>
      </c>
    </row>
    <row r="188" customFormat="false" ht="15" hidden="false" customHeight="false" outlineLevel="0" collapsed="false">
      <c r="A188" s="3" t="n">
        <v>183</v>
      </c>
      <c r="B188" s="22"/>
      <c r="C188" s="22"/>
      <c r="D188" s="22"/>
      <c r="E188" s="23" t="n">
        <f aca="false">IF(AND(D188=1,C188&lt;&gt;""),LEN(C188)+sensor_over_b,0)</f>
        <v>0</v>
      </c>
      <c r="F188" s="23" t="n">
        <f aca="false">IF(AND(E188&gt;0,COUNTIFS(B$6:B188,B188,D$6:D188,1,C$6:C188,"&lt;&gt;")=1),LEN(B188)+device_over_b,0)</f>
        <v>0</v>
      </c>
    </row>
    <row r="189" customFormat="false" ht="15" hidden="false" customHeight="false" outlineLevel="0" collapsed="false">
      <c r="A189" s="3" t="n">
        <v>184</v>
      </c>
      <c r="B189" s="22"/>
      <c r="C189" s="22"/>
      <c r="D189" s="22"/>
      <c r="E189" s="23" t="n">
        <f aca="false">IF(AND(D189=1,C189&lt;&gt;""),LEN(C189)+sensor_over_b,0)</f>
        <v>0</v>
      </c>
      <c r="F189" s="23" t="n">
        <f aca="false">IF(AND(E189&gt;0,COUNTIFS(B$6:B189,B189,D$6:D189,1,C$6:C189,"&lt;&gt;")=1),LEN(B189)+device_over_b,0)</f>
        <v>0</v>
      </c>
    </row>
    <row r="190" customFormat="false" ht="15" hidden="false" customHeight="false" outlineLevel="0" collapsed="false">
      <c r="A190" s="3" t="n">
        <v>185</v>
      </c>
      <c r="B190" s="22"/>
      <c r="C190" s="22"/>
      <c r="D190" s="22"/>
      <c r="E190" s="23" t="n">
        <f aca="false">IF(AND(D190=1,C190&lt;&gt;""),LEN(C190)+sensor_over_b,0)</f>
        <v>0</v>
      </c>
      <c r="F190" s="23" t="n">
        <f aca="false">IF(AND(E190&gt;0,COUNTIFS(B$6:B190,B190,D$6:D190,1,C$6:C190,"&lt;&gt;")=1),LEN(B190)+device_over_b,0)</f>
        <v>0</v>
      </c>
    </row>
    <row r="191" customFormat="false" ht="15" hidden="false" customHeight="false" outlineLevel="0" collapsed="false">
      <c r="A191" s="3" t="n">
        <v>186</v>
      </c>
      <c r="B191" s="22"/>
      <c r="C191" s="22"/>
      <c r="D191" s="22"/>
      <c r="E191" s="23" t="n">
        <f aca="false">IF(AND(D191=1,C191&lt;&gt;""),LEN(C191)+sensor_over_b,0)</f>
        <v>0</v>
      </c>
      <c r="F191" s="23" t="n">
        <f aca="false">IF(AND(E191&gt;0,COUNTIFS(B$6:B191,B191,D$6:D191,1,C$6:C191,"&lt;&gt;")=1),LEN(B191)+device_over_b,0)</f>
        <v>0</v>
      </c>
    </row>
    <row r="192" customFormat="false" ht="15" hidden="false" customHeight="false" outlineLevel="0" collapsed="false">
      <c r="A192" s="3" t="n">
        <v>187</v>
      </c>
      <c r="B192" s="22"/>
      <c r="C192" s="22"/>
      <c r="D192" s="22"/>
      <c r="E192" s="23" t="n">
        <f aca="false">IF(AND(D192=1,C192&lt;&gt;""),LEN(C192)+sensor_over_b,0)</f>
        <v>0</v>
      </c>
      <c r="F192" s="23" t="n">
        <f aca="false">IF(AND(E192&gt;0,COUNTIFS(B$6:B192,B192,D$6:D192,1,C$6:C192,"&lt;&gt;")=1),LEN(B192)+device_over_b,0)</f>
        <v>0</v>
      </c>
    </row>
    <row r="193" customFormat="false" ht="15" hidden="false" customHeight="false" outlineLevel="0" collapsed="false">
      <c r="A193" s="3" t="n">
        <v>188</v>
      </c>
      <c r="B193" s="22"/>
      <c r="C193" s="22"/>
      <c r="D193" s="22"/>
      <c r="E193" s="23" t="n">
        <f aca="false">IF(AND(D193=1,C193&lt;&gt;""),LEN(C193)+sensor_over_b,0)</f>
        <v>0</v>
      </c>
      <c r="F193" s="23" t="n">
        <f aca="false">IF(AND(E193&gt;0,COUNTIFS(B$6:B193,B193,D$6:D193,1,C$6:C193,"&lt;&gt;")=1),LEN(B193)+device_over_b,0)</f>
        <v>0</v>
      </c>
    </row>
    <row r="194" customFormat="false" ht="15" hidden="false" customHeight="false" outlineLevel="0" collapsed="false">
      <c r="A194" s="3" t="n">
        <v>189</v>
      </c>
      <c r="B194" s="22"/>
      <c r="C194" s="22"/>
      <c r="D194" s="22"/>
      <c r="E194" s="23" t="n">
        <f aca="false">IF(AND(D194=1,C194&lt;&gt;""),LEN(C194)+sensor_over_b,0)</f>
        <v>0</v>
      </c>
      <c r="F194" s="23" t="n">
        <f aca="false">IF(AND(E194&gt;0,COUNTIFS(B$6:B194,B194,D$6:D194,1,C$6:C194,"&lt;&gt;")=1),LEN(B194)+device_over_b,0)</f>
        <v>0</v>
      </c>
    </row>
    <row r="195" customFormat="false" ht="15" hidden="false" customHeight="false" outlineLevel="0" collapsed="false">
      <c r="A195" s="3" t="n">
        <v>190</v>
      </c>
      <c r="B195" s="22"/>
      <c r="C195" s="22"/>
      <c r="D195" s="22"/>
      <c r="E195" s="23" t="n">
        <f aca="false">IF(AND(D195=1,C195&lt;&gt;""),LEN(C195)+sensor_over_b,0)</f>
        <v>0</v>
      </c>
      <c r="F195" s="23" t="n">
        <f aca="false">IF(AND(E195&gt;0,COUNTIFS(B$6:B195,B195,D$6:D195,1,C$6:C195,"&lt;&gt;")=1),LEN(B195)+device_over_b,0)</f>
        <v>0</v>
      </c>
    </row>
    <row r="196" customFormat="false" ht="15" hidden="false" customHeight="false" outlineLevel="0" collapsed="false">
      <c r="A196" s="3" t="n">
        <v>191</v>
      </c>
      <c r="B196" s="22"/>
      <c r="C196" s="22"/>
      <c r="D196" s="22"/>
      <c r="E196" s="23" t="n">
        <f aca="false">IF(AND(D196=1,C196&lt;&gt;""),LEN(C196)+sensor_over_b,0)</f>
        <v>0</v>
      </c>
      <c r="F196" s="23" t="n">
        <f aca="false">IF(AND(E196&gt;0,COUNTIFS(B$6:B196,B196,D$6:D196,1,C$6:C196,"&lt;&gt;")=1),LEN(B196)+device_over_b,0)</f>
        <v>0</v>
      </c>
    </row>
    <row r="197" customFormat="false" ht="15" hidden="false" customHeight="false" outlineLevel="0" collapsed="false">
      <c r="A197" s="3" t="n">
        <v>192</v>
      </c>
      <c r="B197" s="22"/>
      <c r="C197" s="22"/>
      <c r="D197" s="22"/>
      <c r="E197" s="23" t="n">
        <f aca="false">IF(AND(D197=1,C197&lt;&gt;""),LEN(C197)+sensor_over_b,0)</f>
        <v>0</v>
      </c>
      <c r="F197" s="23" t="n">
        <f aca="false">IF(AND(E197&gt;0,COUNTIFS(B$6:B197,B197,D$6:D197,1,C$6:C197,"&lt;&gt;")=1),LEN(B197)+device_over_b,0)</f>
        <v>0</v>
      </c>
    </row>
    <row r="198" customFormat="false" ht="15" hidden="false" customHeight="false" outlineLevel="0" collapsed="false">
      <c r="A198" s="3" t="n">
        <v>193</v>
      </c>
      <c r="B198" s="22"/>
      <c r="C198" s="22"/>
      <c r="D198" s="22"/>
      <c r="E198" s="23" t="n">
        <f aca="false">IF(AND(D198=1,C198&lt;&gt;""),LEN(C198)+sensor_over_b,0)</f>
        <v>0</v>
      </c>
      <c r="F198" s="23" t="n">
        <f aca="false">IF(AND(E198&gt;0,COUNTIFS(B$6:B198,B198,D$6:D198,1,C$6:C198,"&lt;&gt;")=1),LEN(B198)+device_over_b,0)</f>
        <v>0</v>
      </c>
    </row>
    <row r="199" customFormat="false" ht="15" hidden="false" customHeight="false" outlineLevel="0" collapsed="false">
      <c r="A199" s="3" t="n">
        <v>194</v>
      </c>
      <c r="B199" s="22"/>
      <c r="C199" s="22"/>
      <c r="D199" s="22"/>
      <c r="E199" s="23" t="n">
        <f aca="false">IF(AND(D199=1,C199&lt;&gt;""),LEN(C199)+sensor_over_b,0)</f>
        <v>0</v>
      </c>
      <c r="F199" s="23" t="n">
        <f aca="false">IF(AND(E199&gt;0,COUNTIFS(B$6:B199,B199,D$6:D199,1,C$6:C199,"&lt;&gt;")=1),LEN(B199)+device_over_b,0)</f>
        <v>0</v>
      </c>
    </row>
    <row r="200" customFormat="false" ht="15" hidden="false" customHeight="false" outlineLevel="0" collapsed="false">
      <c r="A200" s="3" t="n">
        <v>195</v>
      </c>
      <c r="B200" s="22"/>
      <c r="C200" s="22"/>
      <c r="D200" s="22"/>
      <c r="E200" s="23" t="n">
        <f aca="false">IF(AND(D200=1,C200&lt;&gt;""),LEN(C200)+sensor_over_b,0)</f>
        <v>0</v>
      </c>
      <c r="F200" s="23" t="n">
        <f aca="false">IF(AND(E200&gt;0,COUNTIFS(B$6:B200,B200,D$6:D200,1,C$6:C200,"&lt;&gt;")=1),LEN(B200)+device_over_b,0)</f>
        <v>0</v>
      </c>
    </row>
    <row r="201" customFormat="false" ht="15" hidden="false" customHeight="false" outlineLevel="0" collapsed="false">
      <c r="A201" s="3" t="n">
        <v>196</v>
      </c>
      <c r="B201" s="22"/>
      <c r="C201" s="22"/>
      <c r="D201" s="22"/>
      <c r="E201" s="23" t="n">
        <f aca="false">IF(AND(D201=1,C201&lt;&gt;""),LEN(C201)+sensor_over_b,0)</f>
        <v>0</v>
      </c>
      <c r="F201" s="23" t="n">
        <f aca="false">IF(AND(E201&gt;0,COUNTIFS(B$6:B201,B201,D$6:D201,1,C$6:C201,"&lt;&gt;")=1),LEN(B201)+device_over_b,0)</f>
        <v>0</v>
      </c>
    </row>
    <row r="202" customFormat="false" ht="15" hidden="false" customHeight="false" outlineLevel="0" collapsed="false">
      <c r="A202" s="3" t="n">
        <v>197</v>
      </c>
      <c r="B202" s="22"/>
      <c r="C202" s="22"/>
      <c r="D202" s="22"/>
      <c r="E202" s="23" t="n">
        <f aca="false">IF(AND(D202=1,C202&lt;&gt;""),LEN(C202)+sensor_over_b,0)</f>
        <v>0</v>
      </c>
      <c r="F202" s="23" t="n">
        <f aca="false">IF(AND(E202&gt;0,COUNTIFS(B$6:B202,B202,D$6:D202,1,C$6:C202,"&lt;&gt;")=1),LEN(B202)+device_over_b,0)</f>
        <v>0</v>
      </c>
    </row>
    <row r="203" customFormat="false" ht="15" hidden="false" customHeight="false" outlineLevel="0" collapsed="false">
      <c r="A203" s="3" t="n">
        <v>198</v>
      </c>
      <c r="B203" s="22"/>
      <c r="C203" s="22"/>
      <c r="D203" s="22"/>
      <c r="E203" s="23" t="n">
        <f aca="false">IF(AND(D203=1,C203&lt;&gt;""),LEN(C203)+sensor_over_b,0)</f>
        <v>0</v>
      </c>
      <c r="F203" s="23" t="n">
        <f aca="false">IF(AND(E203&gt;0,COUNTIFS(B$6:B203,B203,D$6:D203,1,C$6:C203,"&lt;&gt;")=1),LEN(B203)+device_over_b,0)</f>
        <v>0</v>
      </c>
    </row>
    <row r="204" customFormat="false" ht="15" hidden="false" customHeight="false" outlineLevel="0" collapsed="false">
      <c r="A204" s="3" t="n">
        <v>199</v>
      </c>
      <c r="B204" s="22"/>
      <c r="C204" s="22"/>
      <c r="D204" s="22"/>
      <c r="E204" s="23" t="n">
        <f aca="false">IF(AND(D204=1,C204&lt;&gt;""),LEN(C204)+sensor_over_b,0)</f>
        <v>0</v>
      </c>
      <c r="F204" s="23" t="n">
        <f aca="false">IF(AND(E204&gt;0,COUNTIFS(B$6:B204,B204,D$6:D204,1,C$6:C204,"&lt;&gt;")=1),LEN(B204)+device_over_b,0)</f>
        <v>0</v>
      </c>
    </row>
    <row r="205" customFormat="false" ht="15" hidden="false" customHeight="false" outlineLevel="0" collapsed="false">
      <c r="A205" s="3" t="n">
        <v>200</v>
      </c>
      <c r="B205" s="22"/>
      <c r="C205" s="22"/>
      <c r="D205" s="22"/>
      <c r="E205" s="23" t="n">
        <f aca="false">IF(AND(D205=1,C205&lt;&gt;""),LEN(C205)+sensor_over_b,0)</f>
        <v>0</v>
      </c>
      <c r="F205" s="23" t="n">
        <f aca="false">IF(AND(E205&gt;0,COUNTIFS(B$6:B205,B205,D$6:D205,1,C$6:C205,"&lt;&gt;")=1),LEN(B205)+device_over_b,0)</f>
        <v>0</v>
      </c>
    </row>
  </sheetData>
  <dataValidations count="1">
    <dataValidation allowBlank="true" error="Use 1 (active) or 0 (inactive)" errorStyle="stop" operator="between" showDropDown="false" showErrorMessage="true" showInputMessage="false" sqref="D6:D205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138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139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1" t="s">
        <v>140</v>
      </c>
      <c r="B4" s="21" t="s">
        <v>141</v>
      </c>
      <c r="C4" s="21" t="s">
        <v>142</v>
      </c>
      <c r="D4" s="21" t="s">
        <v>143</v>
      </c>
      <c r="E4" s="21" t="s">
        <v>144</v>
      </c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4" t="s">
        <v>145</v>
      </c>
      <c r="B6" s="5"/>
      <c r="C6" s="5"/>
      <c r="D6" s="5"/>
      <c r="E6" s="5"/>
      <c r="F6" s="2"/>
    </row>
    <row r="7" customFormat="false" ht="15" hidden="false" customHeight="false" outlineLevel="0" collapsed="false">
      <c r="A7" s="9" t="s">
        <v>146</v>
      </c>
      <c r="B7" s="3" t="s">
        <v>147</v>
      </c>
      <c r="C7" s="24" t="n">
        <v>20</v>
      </c>
      <c r="D7" s="9" t="s">
        <v>148</v>
      </c>
      <c r="E7" s="3" t="s">
        <v>149</v>
      </c>
      <c r="F7" s="2"/>
    </row>
    <row r="8" customFormat="false" ht="15" hidden="false" customHeight="false" outlineLevel="0" collapsed="false">
      <c r="A8" s="9" t="s">
        <v>150</v>
      </c>
      <c r="B8" s="3" t="s">
        <v>151</v>
      </c>
      <c r="C8" s="24" t="n">
        <v>60</v>
      </c>
      <c r="D8" s="9" t="s">
        <v>148</v>
      </c>
      <c r="E8" s="3" t="s">
        <v>152</v>
      </c>
      <c r="F8" s="2"/>
    </row>
    <row r="9" customFormat="false" ht="15" hidden="false" customHeight="false" outlineLevel="0" collapsed="false">
      <c r="A9" s="9" t="s">
        <v>153</v>
      </c>
      <c r="B9" s="3" t="s">
        <v>154</v>
      </c>
      <c r="C9" s="22" t="s">
        <v>155</v>
      </c>
      <c r="D9" s="9" t="s">
        <v>156</v>
      </c>
      <c r="E9" s="3" t="s">
        <v>157</v>
      </c>
      <c r="F9" s="2"/>
    </row>
    <row r="10" customFormat="false" ht="15" hidden="false" customHeight="false" outlineLevel="0" collapsed="false">
      <c r="A10" s="9" t="s">
        <v>158</v>
      </c>
      <c r="B10" s="3" t="s">
        <v>159</v>
      </c>
      <c r="C10" s="22" t="s">
        <v>160</v>
      </c>
      <c r="D10" s="9" t="s">
        <v>156</v>
      </c>
      <c r="E10" s="3" t="s">
        <v>161</v>
      </c>
      <c r="F10" s="2"/>
    </row>
    <row r="11" customFormat="false" ht="15" hidden="false" customHeight="false" outlineLevel="0" collapsed="false">
      <c r="A11" s="9" t="s">
        <v>162</v>
      </c>
      <c r="B11" s="3" t="s">
        <v>163</v>
      </c>
      <c r="C11" s="24" t="n">
        <v>1</v>
      </c>
      <c r="D11" s="9" t="s">
        <v>163</v>
      </c>
      <c r="E11" s="3" t="s">
        <v>164</v>
      </c>
      <c r="F11" s="2"/>
    </row>
    <row r="12" customFormat="false" ht="15" hidden="false" customHeight="false" outlineLevel="0" collapsed="false">
      <c r="A12" s="9" t="s">
        <v>165</v>
      </c>
      <c r="B12" s="3" t="s">
        <v>166</v>
      </c>
      <c r="C12" s="22" t="n">
        <f aca="false">365/12</f>
        <v>30.4166666666667</v>
      </c>
      <c r="D12" s="9" t="s">
        <v>167</v>
      </c>
      <c r="E12" s="3" t="s">
        <v>168</v>
      </c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4" t="s">
        <v>169</v>
      </c>
      <c r="B14" s="5"/>
      <c r="C14" s="5"/>
      <c r="D14" s="5"/>
      <c r="E14" s="5"/>
      <c r="F14" s="2"/>
    </row>
    <row r="15" customFormat="false" ht="15" hidden="false" customHeight="false" outlineLevel="0" collapsed="false">
      <c r="A15" s="9" t="s">
        <v>170</v>
      </c>
      <c r="B15" s="3" t="s">
        <v>171</v>
      </c>
      <c r="C15" s="24" t="n">
        <v>1</v>
      </c>
      <c r="D15" s="9" t="s">
        <v>172</v>
      </c>
      <c r="E15" s="3" t="s">
        <v>173</v>
      </c>
      <c r="F15" s="2"/>
    </row>
    <row r="16" customFormat="false" ht="15" hidden="false" customHeight="false" outlineLevel="0" collapsed="false">
      <c r="A16" s="9" t="s">
        <v>174</v>
      </c>
      <c r="B16" s="3" t="s">
        <v>175</v>
      </c>
      <c r="C16" s="24" t="n">
        <v>8</v>
      </c>
      <c r="D16" s="9" t="s">
        <v>176</v>
      </c>
      <c r="E16" s="3" t="s">
        <v>177</v>
      </c>
      <c r="F16" s="2"/>
    </row>
    <row r="17" customFormat="false" ht="15" hidden="false" customHeight="false" outlineLevel="0" collapsed="false">
      <c r="A17" s="9" t="s">
        <v>178</v>
      </c>
      <c r="B17" s="3" t="s">
        <v>179</v>
      </c>
      <c r="C17" s="22" t="n">
        <v>10</v>
      </c>
      <c r="D17" s="9" t="s">
        <v>148</v>
      </c>
      <c r="E17" s="3" t="s">
        <v>180</v>
      </c>
      <c r="F17" s="2"/>
    </row>
    <row r="18" customFormat="false" ht="15" hidden="false" customHeight="false" outlineLevel="0" collapsed="false">
      <c r="A18" s="9" t="s">
        <v>181</v>
      </c>
      <c r="B18" s="3" t="s">
        <v>182</v>
      </c>
      <c r="C18" s="22" t="n">
        <v>10</v>
      </c>
      <c r="D18" s="9" t="s">
        <v>183</v>
      </c>
      <c r="E18" s="3" t="s">
        <v>184</v>
      </c>
      <c r="F18" s="2"/>
    </row>
    <row r="19" customFormat="false" ht="15" hidden="false" customHeight="false" outlineLevel="0" collapsed="false">
      <c r="A19" s="9" t="s">
        <v>185</v>
      </c>
      <c r="B19" s="3" t="s">
        <v>186</v>
      </c>
      <c r="C19" s="24" t="n">
        <v>20</v>
      </c>
      <c r="D19" s="9" t="s">
        <v>187</v>
      </c>
      <c r="E19" s="3" t="s">
        <v>188</v>
      </c>
      <c r="F19" s="2"/>
    </row>
    <row r="20" customFormat="false" ht="15" hidden="false" customHeight="false" outlineLevel="0" collapsed="false">
      <c r="A20" s="9" t="s">
        <v>189</v>
      </c>
      <c r="B20" s="3" t="s">
        <v>190</v>
      </c>
      <c r="C20" s="24" t="n">
        <v>1</v>
      </c>
      <c r="D20" s="9" t="s">
        <v>167</v>
      </c>
      <c r="E20" s="3" t="s">
        <v>191</v>
      </c>
      <c r="F20" s="2"/>
    </row>
    <row r="21" customFormat="false" ht="15" hidden="false" customHeight="false" outlineLevel="0" collapsed="false">
      <c r="A21" s="9" t="s">
        <v>192</v>
      </c>
      <c r="B21" s="3" t="s">
        <v>193</v>
      </c>
      <c r="C21" s="22" t="n">
        <v>10</v>
      </c>
      <c r="D21" s="9" t="s">
        <v>194</v>
      </c>
      <c r="E21" s="3" t="s">
        <v>195</v>
      </c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4" t="s">
        <v>196</v>
      </c>
      <c r="B23" s="5"/>
      <c r="C23" s="5"/>
      <c r="D23" s="5"/>
      <c r="E23" s="5"/>
      <c r="F23" s="2"/>
    </row>
    <row r="24" customFormat="false" ht="15" hidden="false" customHeight="false" outlineLevel="0" collapsed="false">
      <c r="A24" s="9" t="s">
        <v>197</v>
      </c>
      <c r="B24" s="3" t="s">
        <v>198</v>
      </c>
      <c r="C24" s="24" t="n">
        <v>8</v>
      </c>
      <c r="D24" s="9" t="s">
        <v>199</v>
      </c>
      <c r="E24" s="3" t="s">
        <v>200</v>
      </c>
      <c r="F24" s="2"/>
    </row>
    <row r="25" customFormat="false" ht="15" hidden="false" customHeight="false" outlineLevel="0" collapsed="false">
      <c r="A25" s="9" t="s">
        <v>201</v>
      </c>
      <c r="B25" s="3" t="s">
        <v>202</v>
      </c>
      <c r="C25" s="22" t="n">
        <v>4</v>
      </c>
      <c r="D25" s="9" t="s">
        <v>203</v>
      </c>
      <c r="E25" s="3" t="s">
        <v>204</v>
      </c>
      <c r="F25" s="2"/>
    </row>
    <row r="26" customFormat="false" ht="15" hidden="false" customHeight="false" outlineLevel="0" collapsed="false">
      <c r="A26" s="9" t="s">
        <v>205</v>
      </c>
      <c r="B26" s="3" t="s">
        <v>206</v>
      </c>
      <c r="C26" s="22" t="n">
        <f aca="false">52/12</f>
        <v>4.33333333333333</v>
      </c>
      <c r="D26" s="9" t="s">
        <v>207</v>
      </c>
      <c r="E26" s="3" t="s">
        <v>208</v>
      </c>
      <c r="F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</row>
    <row r="28" customFormat="false" ht="15" hidden="false" customHeight="false" outlineLevel="0" collapsed="false">
      <c r="A28" s="4" t="s">
        <v>209</v>
      </c>
      <c r="B28" s="5"/>
      <c r="C28" s="5"/>
      <c r="D28" s="5"/>
      <c r="E28" s="5"/>
      <c r="F28" s="2"/>
    </row>
    <row r="29" customFormat="false" ht="15" hidden="false" customHeight="false" outlineLevel="0" collapsed="false">
      <c r="A29" s="9" t="s">
        <v>210</v>
      </c>
      <c r="B29" s="3" t="s">
        <v>211</v>
      </c>
      <c r="C29" s="24" t="n">
        <v>12</v>
      </c>
      <c r="D29" s="9" t="s">
        <v>212</v>
      </c>
      <c r="E29" s="3" t="s">
        <v>213</v>
      </c>
      <c r="F29" s="2"/>
    </row>
    <row r="30" customFormat="false" ht="15" hidden="false" customHeight="false" outlineLevel="0" collapsed="false">
      <c r="A30" s="9" t="s">
        <v>214</v>
      </c>
      <c r="B30" s="3" t="s">
        <v>215</v>
      </c>
      <c r="C30" s="24" t="s">
        <v>216</v>
      </c>
      <c r="D30" s="9" t="s">
        <v>217</v>
      </c>
      <c r="E30" s="3" t="s">
        <v>218</v>
      </c>
      <c r="F30" s="9" t="n">
        <f aca="false">IF(C30="Yes",1,0)</f>
        <v>0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4" t="s">
        <v>219</v>
      </c>
      <c r="B32" s="5"/>
      <c r="C32" s="5"/>
      <c r="D32" s="5"/>
      <c r="E32" s="5"/>
      <c r="F32" s="2"/>
    </row>
    <row r="33" customFormat="false" ht="15" hidden="false" customHeight="false" outlineLevel="0" collapsed="false">
      <c r="A33" s="9" t="s">
        <v>220</v>
      </c>
      <c r="B33" s="3" t="s">
        <v>221</v>
      </c>
      <c r="C33" s="25" t="n">
        <v>57</v>
      </c>
      <c r="D33" s="9" t="s">
        <v>222</v>
      </c>
      <c r="E33" s="3" t="s">
        <v>223</v>
      </c>
      <c r="F33" s="2"/>
    </row>
    <row r="34" customFormat="false" ht="15" hidden="false" customHeight="false" outlineLevel="0" collapsed="false">
      <c r="A34" s="9" t="s">
        <v>224</v>
      </c>
      <c r="B34" s="3" t="s">
        <v>225</v>
      </c>
      <c r="C34" s="25" t="n">
        <v>55</v>
      </c>
      <c r="D34" s="9" t="s">
        <v>222</v>
      </c>
      <c r="E34" s="3" t="s">
        <v>226</v>
      </c>
      <c r="F34" s="2"/>
    </row>
    <row r="35" customFormat="false" ht="15" hidden="false" customHeight="false" outlineLevel="0" collapsed="false">
      <c r="A35" s="9" t="s">
        <v>227</v>
      </c>
      <c r="B35" s="3" t="s">
        <v>228</v>
      </c>
      <c r="C35" s="25" t="n">
        <v>8</v>
      </c>
      <c r="D35" s="9" t="s">
        <v>222</v>
      </c>
      <c r="E35" s="3" t="s">
        <v>229</v>
      </c>
      <c r="F35" s="2"/>
    </row>
    <row r="36" customFormat="false" ht="15" hidden="false" customHeight="false" outlineLevel="0" collapsed="false">
      <c r="A36" s="9" t="s">
        <v>230</v>
      </c>
      <c r="B36" s="3" t="s">
        <v>231</v>
      </c>
      <c r="C36" s="25" t="n">
        <v>320</v>
      </c>
      <c r="D36" s="9" t="s">
        <v>222</v>
      </c>
      <c r="E36" s="3" t="s">
        <v>232</v>
      </c>
      <c r="F36" s="2"/>
    </row>
    <row r="37" customFormat="false" ht="15" hidden="false" customHeight="false" outlineLevel="0" collapsed="false">
      <c r="A37" s="9" t="s">
        <v>233</v>
      </c>
      <c r="B37" s="3" t="s">
        <v>234</v>
      </c>
      <c r="C37" s="25" t="n">
        <v>46</v>
      </c>
      <c r="D37" s="9" t="s">
        <v>222</v>
      </c>
      <c r="E37" s="3" t="s">
        <v>235</v>
      </c>
      <c r="F37" s="2"/>
    </row>
    <row r="38" customFormat="false" ht="15" hidden="false" customHeight="false" outlineLevel="0" collapsed="false">
      <c r="A38" s="9" t="s">
        <v>236</v>
      </c>
      <c r="B38" s="3" t="s">
        <v>237</v>
      </c>
      <c r="C38" s="25" t="n">
        <v>29</v>
      </c>
      <c r="D38" s="9" t="s">
        <v>238</v>
      </c>
      <c r="E38" s="3" t="s">
        <v>239</v>
      </c>
      <c r="F38" s="2"/>
    </row>
    <row r="39" customFormat="false" ht="15" hidden="false" customHeight="false" outlineLevel="0" collapsed="false">
      <c r="A39" s="9" t="s">
        <v>240</v>
      </c>
      <c r="B39" s="3" t="s">
        <v>241</v>
      </c>
      <c r="C39" s="25" t="n">
        <v>52</v>
      </c>
      <c r="D39" s="9" t="s">
        <v>238</v>
      </c>
      <c r="E39" s="3" t="s">
        <v>242</v>
      </c>
      <c r="F39" s="2"/>
    </row>
    <row r="40" customFormat="false" ht="15" hidden="false" customHeight="false" outlineLevel="0" collapsed="false">
      <c r="A40" s="9" t="s">
        <v>243</v>
      </c>
      <c r="B40" s="3" t="s">
        <v>244</v>
      </c>
      <c r="C40" s="25" t="n">
        <v>60</v>
      </c>
      <c r="D40" s="9" t="s">
        <v>148</v>
      </c>
      <c r="E40" s="3" t="s">
        <v>245</v>
      </c>
      <c r="F40" s="2"/>
    </row>
    <row r="41" customFormat="false" ht="15" hidden="false" customHeight="false" outlineLevel="0" collapsed="false">
      <c r="A41" s="9" t="s">
        <v>246</v>
      </c>
      <c r="B41" s="3" t="s">
        <v>247</v>
      </c>
      <c r="C41" s="25" t="n">
        <v>10</v>
      </c>
      <c r="D41" s="9" t="s">
        <v>248</v>
      </c>
      <c r="E41" s="3" t="s">
        <v>249</v>
      </c>
      <c r="F41" s="2"/>
    </row>
    <row r="42" customFormat="false" ht="15" hidden="false" customHeight="false" outlineLevel="0" collapsed="false">
      <c r="A42" s="9" t="s">
        <v>250</v>
      </c>
      <c r="B42" s="3" t="s">
        <v>251</v>
      </c>
      <c r="C42" s="25" t="n">
        <v>5</v>
      </c>
      <c r="D42" s="9" t="s">
        <v>252</v>
      </c>
      <c r="E42" s="3" t="s">
        <v>253</v>
      </c>
      <c r="F42" s="2"/>
    </row>
    <row r="43" customFormat="false" ht="15" hidden="false" customHeight="false" outlineLevel="0" collapsed="false">
      <c r="A43" s="9" t="s">
        <v>254</v>
      </c>
      <c r="B43" s="3" t="s">
        <v>255</v>
      </c>
      <c r="C43" s="25" t="n">
        <v>8</v>
      </c>
      <c r="D43" s="9" t="s">
        <v>252</v>
      </c>
      <c r="E43" s="3" t="s">
        <v>256</v>
      </c>
      <c r="F43" s="2"/>
    </row>
    <row r="44" customFormat="false" ht="15" hidden="false" customHeight="false" outlineLevel="0" collapsed="false">
      <c r="A44" s="9" t="s">
        <v>257</v>
      </c>
      <c r="B44" s="3" t="s">
        <v>258</v>
      </c>
      <c r="C44" s="25" t="n">
        <v>10</v>
      </c>
      <c r="D44" s="9" t="s">
        <v>259</v>
      </c>
      <c r="E44" s="3" t="s">
        <v>260</v>
      </c>
      <c r="F44" s="2"/>
    </row>
    <row r="45" customFormat="false" ht="15" hidden="false" customHeight="false" outlineLevel="0" collapsed="false">
      <c r="A45" s="9" t="s">
        <v>261</v>
      </c>
      <c r="B45" s="3" t="s">
        <v>262</v>
      </c>
      <c r="C45" s="25" t="n">
        <v>15</v>
      </c>
      <c r="D45" s="9" t="s">
        <v>263</v>
      </c>
      <c r="E45" s="3" t="s">
        <v>264</v>
      </c>
      <c r="F45" s="2"/>
    </row>
    <row r="46" customFormat="false" ht="15" hidden="false" customHeight="false" outlineLevel="0" collapsed="false">
      <c r="A46" s="9" t="s">
        <v>265</v>
      </c>
      <c r="B46" s="3" t="s">
        <v>266</v>
      </c>
      <c r="C46" s="25" t="n">
        <v>47</v>
      </c>
      <c r="D46" s="9" t="s">
        <v>267</v>
      </c>
      <c r="E46" s="3" t="s">
        <v>268</v>
      </c>
      <c r="F46" s="2"/>
    </row>
    <row r="47" customFormat="false" ht="15" hidden="false" customHeight="false" outlineLevel="0" collapsed="false">
      <c r="A47" s="9" t="s">
        <v>269</v>
      </c>
      <c r="B47" s="3" t="s">
        <v>270</v>
      </c>
      <c r="C47" s="25" t="n">
        <v>1200</v>
      </c>
      <c r="D47" s="9" t="s">
        <v>222</v>
      </c>
      <c r="E47" s="3" t="s">
        <v>271</v>
      </c>
      <c r="F47" s="2"/>
    </row>
    <row r="48" customFormat="false" ht="15" hidden="false" customHeight="false" outlineLevel="0" collapsed="false">
      <c r="A48" s="9" t="s">
        <v>272</v>
      </c>
      <c r="B48" s="3" t="s">
        <v>273</v>
      </c>
      <c r="C48" s="25" t="n">
        <v>110</v>
      </c>
      <c r="D48" s="9" t="s">
        <v>222</v>
      </c>
      <c r="E48" s="3" t="s">
        <v>274</v>
      </c>
      <c r="F48" s="2"/>
    </row>
    <row r="49" customFormat="false" ht="15" hidden="false" customHeight="false" outlineLevel="0" collapsed="false">
      <c r="A49" s="9" t="s">
        <v>275</v>
      </c>
      <c r="B49" s="3" t="s">
        <v>276</v>
      </c>
      <c r="C49" s="25" t="n">
        <v>300</v>
      </c>
      <c r="D49" s="9" t="s">
        <v>222</v>
      </c>
      <c r="E49" s="3" t="s">
        <v>277</v>
      </c>
      <c r="F49" s="2"/>
    </row>
    <row r="50" customFormat="false" ht="15" hidden="false" customHeight="false" outlineLevel="0" collapsed="false">
      <c r="A50" s="9" t="s">
        <v>278</v>
      </c>
      <c r="B50" s="3" t="s">
        <v>279</v>
      </c>
      <c r="C50" s="25" t="n">
        <v>50</v>
      </c>
      <c r="D50" s="9" t="s">
        <v>267</v>
      </c>
      <c r="E50" s="3" t="s">
        <v>280</v>
      </c>
      <c r="F50" s="2"/>
    </row>
    <row r="51" customFormat="false" ht="15" hidden="false" customHeight="false" outlineLevel="0" collapsed="false">
      <c r="A51" s="9" t="s">
        <v>281</v>
      </c>
      <c r="B51" s="3" t="s">
        <v>282</v>
      </c>
      <c r="C51" s="25" t="n">
        <v>512</v>
      </c>
      <c r="D51" s="9" t="s">
        <v>248</v>
      </c>
      <c r="E51" s="3" t="s">
        <v>283</v>
      </c>
      <c r="F51" s="2"/>
    </row>
    <row r="52" customFormat="false" ht="15" hidden="false" customHeight="false" outlineLevel="0" collapsed="false">
      <c r="A52" s="9" t="s">
        <v>284</v>
      </c>
      <c r="B52" s="3" t="s">
        <v>285</v>
      </c>
      <c r="C52" s="25" t="n">
        <v>100</v>
      </c>
      <c r="D52" s="9" t="s">
        <v>286</v>
      </c>
      <c r="E52" s="3" t="s">
        <v>287</v>
      </c>
      <c r="F52" s="2"/>
    </row>
    <row r="53" customFormat="false" ht="15" hidden="false" customHeight="false" outlineLevel="0" collapsed="false">
      <c r="A53" s="9" t="s">
        <v>288</v>
      </c>
      <c r="B53" s="3" t="s">
        <v>289</v>
      </c>
      <c r="C53" s="25" t="n">
        <v>4000</v>
      </c>
      <c r="D53" s="9" t="s">
        <v>286</v>
      </c>
      <c r="E53" s="3" t="s">
        <v>290</v>
      </c>
      <c r="F53" s="2"/>
    </row>
    <row r="54" customFormat="false" ht="15" hidden="false" customHeight="false" outlineLevel="0" collapsed="false">
      <c r="A54" s="9" t="s">
        <v>291</v>
      </c>
      <c r="B54" s="3" t="s">
        <v>292</v>
      </c>
      <c r="C54" s="25" t="n">
        <v>1024</v>
      </c>
      <c r="D54" s="9" t="s">
        <v>248</v>
      </c>
      <c r="E54" s="3" t="s">
        <v>293</v>
      </c>
      <c r="F54" s="2"/>
    </row>
    <row r="55" customFormat="false" ht="15" hidden="false" customHeight="false" outlineLevel="0" collapsed="false">
      <c r="A55" s="9" t="s">
        <v>294</v>
      </c>
      <c r="B55" s="3" t="s">
        <v>295</v>
      </c>
      <c r="C55" s="25" t="n">
        <v>30</v>
      </c>
      <c r="D55" s="9" t="s">
        <v>148</v>
      </c>
      <c r="E55" s="3" t="s">
        <v>296</v>
      </c>
      <c r="F55" s="2"/>
    </row>
    <row r="56" customFormat="false" ht="15" hidden="false" customHeight="false" outlineLevel="0" collapsed="false">
      <c r="A56" s="9" t="s">
        <v>297</v>
      </c>
      <c r="B56" s="3" t="s">
        <v>298</v>
      </c>
      <c r="C56" s="25" t="n">
        <v>0.2</v>
      </c>
      <c r="D56" s="9" t="s">
        <v>248</v>
      </c>
      <c r="E56" s="3" t="s">
        <v>277</v>
      </c>
      <c r="F56" s="2"/>
    </row>
    <row r="57" customFormat="false" ht="15" hidden="false" customHeight="false" outlineLevel="0" collapsed="false">
      <c r="A57" s="9" t="s">
        <v>299</v>
      </c>
      <c r="B57" s="3" t="s">
        <v>300</v>
      </c>
      <c r="C57" s="25" t="n">
        <v>0.5</v>
      </c>
      <c r="D57" s="9" t="s">
        <v>267</v>
      </c>
      <c r="E57" s="3" t="s">
        <v>301</v>
      </c>
      <c r="F57" s="2"/>
    </row>
    <row r="58" customFormat="false" ht="15" hidden="false" customHeight="false" outlineLevel="0" collapsed="false">
      <c r="A58" s="9" t="s">
        <v>302</v>
      </c>
      <c r="B58" s="3" t="s">
        <v>303</v>
      </c>
      <c r="C58" s="25" t="n">
        <v>4</v>
      </c>
      <c r="D58" s="9" t="s">
        <v>252</v>
      </c>
      <c r="E58" s="3" t="s">
        <v>304</v>
      </c>
      <c r="F58" s="2"/>
    </row>
  </sheetData>
  <dataValidations count="1">
    <dataValidation allowBlank="false" errorStyle="stop" operator="between" showDropDown="false" showErrorMessage="false" showInputMessage="false" sqref="C3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305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306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0" hidden="false" customHeight="true" outlineLevel="0" collapsed="false">
      <c r="A4" s="21" t="s">
        <v>82</v>
      </c>
      <c r="B4" s="21" t="s">
        <v>307</v>
      </c>
      <c r="C4" s="21" t="s">
        <v>308</v>
      </c>
      <c r="D4" s="21" t="s">
        <v>309</v>
      </c>
      <c r="E4" s="21" t="s">
        <v>310</v>
      </c>
      <c r="F4" s="21" t="s">
        <v>311</v>
      </c>
    </row>
    <row r="5" customFormat="false" ht="15" hidden="false" customHeight="false" outlineLevel="0" collapsed="false">
      <c r="A5" s="9" t="s">
        <v>85</v>
      </c>
      <c r="B5" s="9" t="s">
        <v>312</v>
      </c>
      <c r="C5" s="26" t="n">
        <v>0.08</v>
      </c>
      <c r="D5" s="9" t="s">
        <v>313</v>
      </c>
      <c r="E5" s="27" t="n">
        <v>0</v>
      </c>
      <c r="F5" s="3" t="s">
        <v>314</v>
      </c>
    </row>
    <row r="6" customFormat="false" ht="15" hidden="false" customHeight="false" outlineLevel="0" collapsed="false">
      <c r="A6" s="9" t="s">
        <v>85</v>
      </c>
      <c r="B6" s="9" t="s">
        <v>315</v>
      </c>
      <c r="C6" s="26" t="n">
        <v>1</v>
      </c>
      <c r="D6" s="9" t="s">
        <v>316</v>
      </c>
      <c r="E6" s="27" t="n">
        <v>0</v>
      </c>
      <c r="F6" s="3" t="s">
        <v>314</v>
      </c>
    </row>
    <row r="7" customFormat="false" ht="15" hidden="false" customHeight="false" outlineLevel="0" collapsed="false">
      <c r="A7" s="9" t="s">
        <v>85</v>
      </c>
      <c r="B7" s="9" t="s">
        <v>317</v>
      </c>
      <c r="C7" s="26" t="n">
        <v>0.15</v>
      </c>
      <c r="D7" s="9" t="s">
        <v>318</v>
      </c>
      <c r="E7" s="27" t="n">
        <v>0</v>
      </c>
      <c r="F7" s="3" t="s">
        <v>314</v>
      </c>
    </row>
    <row r="8" customFormat="false" ht="15" hidden="false" customHeight="false" outlineLevel="0" collapsed="false">
      <c r="A8" s="9" t="s">
        <v>85</v>
      </c>
      <c r="B8" s="9" t="s">
        <v>319</v>
      </c>
      <c r="C8" s="26" t="n">
        <v>0.15</v>
      </c>
      <c r="D8" s="9" t="s">
        <v>320</v>
      </c>
      <c r="E8" s="27" t="n">
        <v>0</v>
      </c>
      <c r="F8" s="3" t="s">
        <v>314</v>
      </c>
    </row>
    <row r="9" customFormat="false" ht="15" hidden="false" customHeight="false" outlineLevel="0" collapsed="false">
      <c r="A9" s="9" t="s">
        <v>86</v>
      </c>
      <c r="B9" s="9" t="s">
        <v>321</v>
      </c>
      <c r="C9" s="26" t="n">
        <v>0.029</v>
      </c>
      <c r="D9" s="9" t="s">
        <v>322</v>
      </c>
      <c r="E9" s="27" t="n">
        <v>0</v>
      </c>
      <c r="F9" s="3" t="s">
        <v>323</v>
      </c>
    </row>
    <row r="10" customFormat="false" ht="15" hidden="false" customHeight="false" outlineLevel="0" collapsed="false">
      <c r="A10" s="9" t="s">
        <v>87</v>
      </c>
      <c r="B10" s="9" t="s">
        <v>324</v>
      </c>
      <c r="C10" s="26" t="n">
        <v>0.023</v>
      </c>
      <c r="D10" s="9" t="s">
        <v>325</v>
      </c>
      <c r="E10" s="27" t="n">
        <v>0</v>
      </c>
      <c r="F10" s="3" t="s">
        <v>326</v>
      </c>
    </row>
    <row r="11" customFormat="false" ht="15" hidden="false" customHeight="false" outlineLevel="0" collapsed="false">
      <c r="A11" s="9" t="s">
        <v>87</v>
      </c>
      <c r="B11" s="9" t="s">
        <v>327</v>
      </c>
      <c r="C11" s="26" t="n">
        <v>0.005</v>
      </c>
      <c r="D11" s="9" t="s">
        <v>328</v>
      </c>
      <c r="E11" s="27" t="n">
        <v>0</v>
      </c>
      <c r="F11" s="3" t="s">
        <v>326</v>
      </c>
    </row>
    <row r="12" customFormat="false" ht="15" hidden="false" customHeight="false" outlineLevel="0" collapsed="false">
      <c r="A12" s="9" t="s">
        <v>87</v>
      </c>
      <c r="B12" s="9" t="s">
        <v>329</v>
      </c>
      <c r="C12" s="28" t="n">
        <v>0.0004</v>
      </c>
      <c r="D12" s="9" t="s">
        <v>328</v>
      </c>
      <c r="E12" s="27" t="n">
        <v>0</v>
      </c>
      <c r="F12" s="3" t="s">
        <v>326</v>
      </c>
    </row>
    <row r="13" customFormat="false" ht="15" hidden="false" customHeight="false" outlineLevel="0" collapsed="false">
      <c r="A13" s="9" t="s">
        <v>88</v>
      </c>
      <c r="B13" s="9" t="s">
        <v>330</v>
      </c>
      <c r="C13" s="26" t="n">
        <v>5</v>
      </c>
      <c r="D13" s="9" t="s">
        <v>331</v>
      </c>
      <c r="E13" s="27" t="n">
        <v>0</v>
      </c>
      <c r="F13" s="3" t="s">
        <v>332</v>
      </c>
    </row>
    <row r="14" customFormat="false" ht="15" hidden="false" customHeight="false" outlineLevel="0" collapsed="false">
      <c r="A14" s="9" t="s">
        <v>89</v>
      </c>
      <c r="B14" s="9" t="s">
        <v>333</v>
      </c>
      <c r="C14" s="26" t="n">
        <v>1</v>
      </c>
      <c r="D14" s="9" t="s">
        <v>334</v>
      </c>
      <c r="E14" s="27" t="n">
        <v>1</v>
      </c>
      <c r="F14" s="3" t="s">
        <v>335</v>
      </c>
    </row>
    <row r="15" customFormat="false" ht="15" hidden="false" customHeight="false" outlineLevel="0" collapsed="false">
      <c r="A15" s="9" t="s">
        <v>90</v>
      </c>
      <c r="B15" s="9" t="s">
        <v>336</v>
      </c>
      <c r="C15" s="26" t="n">
        <v>0.2</v>
      </c>
      <c r="D15" s="9" t="s">
        <v>334</v>
      </c>
      <c r="E15" s="27" t="n">
        <v>1</v>
      </c>
      <c r="F15" s="3" t="s">
        <v>337</v>
      </c>
    </row>
    <row r="16" customFormat="false" ht="15" hidden="false" customHeight="false" outlineLevel="0" collapsed="false">
      <c r="A16" s="9" t="s">
        <v>90</v>
      </c>
      <c r="B16" s="9" t="s">
        <v>338</v>
      </c>
      <c r="C16" s="28" t="n">
        <v>1.33334E-005</v>
      </c>
      <c r="D16" s="9" t="s">
        <v>339</v>
      </c>
      <c r="E16" s="27" t="n">
        <v>400000</v>
      </c>
      <c r="F16" s="3" t="s">
        <v>337</v>
      </c>
    </row>
    <row r="17" customFormat="false" ht="15" hidden="false" customHeight="false" outlineLevel="0" collapsed="false">
      <c r="A17" s="9" t="s">
        <v>91</v>
      </c>
      <c r="B17" s="9" t="s">
        <v>340</v>
      </c>
      <c r="C17" s="26" t="n">
        <v>3.5</v>
      </c>
      <c r="D17" s="9" t="s">
        <v>334</v>
      </c>
      <c r="E17" s="27" t="n">
        <v>0</v>
      </c>
      <c r="F17" s="3" t="s">
        <v>341</v>
      </c>
    </row>
    <row r="18" customFormat="false" ht="15" hidden="false" customHeight="false" outlineLevel="0" collapsed="false">
      <c r="A18" s="9" t="s">
        <v>92</v>
      </c>
      <c r="B18" s="9" t="s">
        <v>342</v>
      </c>
      <c r="C18" s="26" t="n">
        <v>0.125</v>
      </c>
      <c r="D18" s="9" t="s">
        <v>343</v>
      </c>
      <c r="E18" s="27" t="n">
        <v>0</v>
      </c>
      <c r="F18" s="3" t="s">
        <v>344</v>
      </c>
    </row>
    <row r="19" customFormat="false" ht="15" hidden="false" customHeight="false" outlineLevel="0" collapsed="false">
      <c r="A19" s="9" t="s">
        <v>92</v>
      </c>
      <c r="B19" s="9" t="s">
        <v>345</v>
      </c>
      <c r="C19" s="26" t="n">
        <v>0.625</v>
      </c>
      <c r="D19" s="9" t="s">
        <v>346</v>
      </c>
      <c r="E19" s="27" t="n">
        <v>0</v>
      </c>
      <c r="F19" s="3" t="s">
        <v>344</v>
      </c>
    </row>
    <row r="20" customFormat="false" ht="15" hidden="false" customHeight="false" outlineLevel="0" collapsed="false">
      <c r="A20" s="9" t="s">
        <v>92</v>
      </c>
      <c r="B20" s="9" t="s">
        <v>347</v>
      </c>
      <c r="C20" s="26" t="n">
        <v>0.25</v>
      </c>
      <c r="D20" s="9" t="s">
        <v>325</v>
      </c>
      <c r="E20" s="27" t="n">
        <v>25</v>
      </c>
      <c r="F20" s="3" t="s">
        <v>344</v>
      </c>
    </row>
    <row r="21" customFormat="false" ht="15" hidden="false" customHeight="false" outlineLevel="0" collapsed="false">
      <c r="A21" s="9" t="s">
        <v>93</v>
      </c>
      <c r="B21" s="9" t="s">
        <v>348</v>
      </c>
      <c r="C21" s="26" t="n">
        <v>1</v>
      </c>
      <c r="D21" s="9" t="s">
        <v>334</v>
      </c>
      <c r="E21" s="27" t="n">
        <v>10</v>
      </c>
      <c r="F21" s="3" t="s">
        <v>349</v>
      </c>
    </row>
    <row r="22" customFormat="false" ht="15" hidden="false" customHeight="false" outlineLevel="0" collapsed="false">
      <c r="A22" s="9" t="s">
        <v>93</v>
      </c>
      <c r="B22" s="9" t="s">
        <v>350</v>
      </c>
      <c r="C22" s="26" t="n">
        <v>0.085</v>
      </c>
      <c r="D22" s="9" t="s">
        <v>351</v>
      </c>
      <c r="E22" s="27" t="n">
        <v>1024</v>
      </c>
      <c r="F22" s="3" t="s">
        <v>349</v>
      </c>
    </row>
    <row r="23" customFormat="false" ht="15" hidden="false" customHeight="false" outlineLevel="0" collapsed="false">
      <c r="A23" s="9" t="s">
        <v>94</v>
      </c>
      <c r="B23" s="9" t="s">
        <v>352</v>
      </c>
      <c r="C23" s="26" t="n">
        <v>0.09</v>
      </c>
      <c r="D23" s="9" t="s">
        <v>351</v>
      </c>
      <c r="E23" s="27" t="n">
        <v>100</v>
      </c>
      <c r="F23" s="3" t="s">
        <v>353</v>
      </c>
    </row>
    <row r="24" customFormat="false" ht="15" hidden="false" customHeight="false" outlineLevel="0" collapsed="false">
      <c r="A24" s="9" t="s">
        <v>95</v>
      </c>
      <c r="B24" s="9" t="s">
        <v>354</v>
      </c>
      <c r="C24" s="26" t="n">
        <v>0.5</v>
      </c>
      <c r="D24" s="9" t="s">
        <v>351</v>
      </c>
      <c r="E24" s="27" t="n">
        <v>5</v>
      </c>
      <c r="F24" s="3" t="s">
        <v>355</v>
      </c>
    </row>
    <row r="25" customFormat="false" ht="15" hidden="false" customHeight="false" outlineLevel="0" collapsed="false">
      <c r="A25" s="9" t="s">
        <v>95</v>
      </c>
      <c r="B25" s="9" t="s">
        <v>347</v>
      </c>
      <c r="C25" s="26" t="n">
        <v>0.03</v>
      </c>
      <c r="D25" s="9" t="s">
        <v>325</v>
      </c>
      <c r="E25" s="27" t="n">
        <v>5</v>
      </c>
      <c r="F25" s="3" t="s">
        <v>355</v>
      </c>
    </row>
    <row r="26" customFormat="false" ht="15" hidden="false" customHeight="false" outlineLevel="0" collapsed="false">
      <c r="A26" s="9" t="s">
        <v>96</v>
      </c>
      <c r="B26" s="9" t="s">
        <v>356</v>
      </c>
      <c r="C26" s="26" t="n">
        <v>0</v>
      </c>
      <c r="D26" s="9" t="s">
        <v>357</v>
      </c>
      <c r="E26" s="27" t="n">
        <v>0</v>
      </c>
      <c r="F26" s="3" t="s">
        <v>358</v>
      </c>
    </row>
    <row r="27" customFormat="false" ht="15" hidden="false" customHeight="false" outlineLevel="0" collapsed="false">
      <c r="A27" s="9" t="s">
        <v>97</v>
      </c>
      <c r="B27" s="9" t="s">
        <v>359</v>
      </c>
      <c r="C27" s="26" t="n">
        <v>0</v>
      </c>
      <c r="D27" s="9" t="s">
        <v>360</v>
      </c>
      <c r="E27" s="27" t="n">
        <v>0</v>
      </c>
      <c r="F27" s="3" t="s">
        <v>360</v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3" t="s">
        <v>361</v>
      </c>
      <c r="B29" s="2"/>
      <c r="C29" s="2"/>
      <c r="D29" s="2"/>
      <c r="E29" s="2"/>
      <c r="F29" s="2"/>
    </row>
    <row r="30" customFormat="false" ht="15" hidden="false" customHeight="false" outlineLevel="0" collapsed="false">
      <c r="A30" s="3" t="s">
        <v>362</v>
      </c>
      <c r="B30" s="2"/>
      <c r="C30" s="2"/>
      <c r="D30" s="2"/>
      <c r="E30" s="2"/>
      <c r="F30" s="2"/>
    </row>
    <row r="31" customFormat="false" ht="15" hidden="false" customHeight="false" outlineLevel="0" collapsed="false">
      <c r="A31" s="3" t="s">
        <v>363</v>
      </c>
      <c r="B31" s="2"/>
      <c r="C31" s="2"/>
      <c r="D31" s="2"/>
      <c r="E31" s="2"/>
      <c r="F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8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364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365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1" t="s">
        <v>366</v>
      </c>
      <c r="B4" s="21" t="s">
        <v>141</v>
      </c>
      <c r="C4" s="21" t="s">
        <v>142</v>
      </c>
      <c r="D4" s="21" t="s">
        <v>143</v>
      </c>
      <c r="E4" s="21" t="s">
        <v>367</v>
      </c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4" t="s">
        <v>368</v>
      </c>
      <c r="B6" s="5"/>
      <c r="C6" s="5"/>
      <c r="D6" s="5"/>
      <c r="E6" s="5"/>
      <c r="F6" s="2"/>
      <c r="G6" s="2"/>
      <c r="H6" s="2"/>
    </row>
    <row r="7" customFormat="false" ht="15" hidden="false" customHeight="false" outlineLevel="0" collapsed="false">
      <c r="A7" s="9" t="s">
        <v>52</v>
      </c>
      <c r="B7" s="3" t="s">
        <v>369</v>
      </c>
      <c r="C7" s="23" t="n">
        <f aca="false">COUNTIFS(Sensors!$D$6:$D$205,1,Sensors!$C$6:$C$205,"&lt;&gt;")</f>
        <v>15</v>
      </c>
      <c r="D7" s="9" t="s">
        <v>370</v>
      </c>
      <c r="E7" s="3" t="s">
        <v>371</v>
      </c>
      <c r="F7" s="2"/>
      <c r="G7" s="2"/>
      <c r="H7" s="2"/>
    </row>
    <row r="8" customFormat="false" ht="15" hidden="false" customHeight="false" outlineLevel="0" collapsed="false">
      <c r="A8" s="9" t="s">
        <v>372</v>
      </c>
      <c r="B8" s="3" t="s">
        <v>373</v>
      </c>
      <c r="C8" s="23" t="n">
        <f aca="false">COUNTIF(Sensors!$F$6:$F$205,"&gt;0")</f>
        <v>15</v>
      </c>
      <c r="D8" s="9" t="s">
        <v>374</v>
      </c>
      <c r="E8" s="3" t="s">
        <v>375</v>
      </c>
      <c r="F8" s="2"/>
      <c r="G8" s="2"/>
      <c r="H8" s="2"/>
    </row>
    <row r="9" customFormat="false" ht="15" hidden="false" customHeight="false" outlineLevel="0" collapsed="false">
      <c r="A9" s="9" t="s">
        <v>376</v>
      </c>
      <c r="B9" s="3" t="s">
        <v>377</v>
      </c>
      <c r="C9" s="23" t="n">
        <f aca="false">data_base_b+SUM(Sensors!$E$6:$E$205)+SUM(Sensors!$F$6:$F$205)</f>
        <v>1236</v>
      </c>
      <c r="D9" s="9" t="s">
        <v>222</v>
      </c>
      <c r="E9" s="3" t="s">
        <v>378</v>
      </c>
      <c r="F9" s="2"/>
      <c r="G9" s="2"/>
      <c r="H9" s="2"/>
    </row>
    <row r="10" customFormat="false" ht="15" hidden="false" customHeight="false" outlineLevel="0" collapsed="false">
      <c r="A10" s="9" t="s">
        <v>379</v>
      </c>
      <c r="B10" s="3" t="s">
        <v>380</v>
      </c>
      <c r="C10" s="23" t="n">
        <f aca="false">sys_payload_b</f>
        <v>320</v>
      </c>
      <c r="D10" s="9" t="s">
        <v>222</v>
      </c>
      <c r="E10" s="3" t="s">
        <v>381</v>
      </c>
      <c r="F10" s="2"/>
      <c r="G10" s="2"/>
      <c r="H10" s="2"/>
    </row>
    <row r="11" customFormat="false" ht="15" hidden="false" customHeight="false" outlineLevel="0" collapsed="false">
      <c r="A11" s="9" t="s">
        <v>382</v>
      </c>
      <c r="B11" s="3" t="s">
        <v>383</v>
      </c>
      <c r="C11" s="23" t="n">
        <f aca="false">86400/poll_s</f>
        <v>4320</v>
      </c>
      <c r="D11" s="9" t="s">
        <v>384</v>
      </c>
      <c r="E11" s="3" t="s">
        <v>385</v>
      </c>
      <c r="F11" s="2"/>
      <c r="G11" s="2"/>
      <c r="H11" s="2"/>
    </row>
    <row r="12" customFormat="false" ht="15" hidden="false" customHeight="false" outlineLevel="0" collapsed="false">
      <c r="A12" s="9" t="s">
        <v>386</v>
      </c>
      <c r="B12" s="3" t="s">
        <v>387</v>
      </c>
      <c r="C12" s="23" t="n">
        <f aca="false">86400/sys_s</f>
        <v>1440</v>
      </c>
      <c r="D12" s="9" t="s">
        <v>384</v>
      </c>
      <c r="E12" s="3" t="s">
        <v>388</v>
      </c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4" t="s">
        <v>389</v>
      </c>
      <c r="B14" s="5"/>
      <c r="C14" s="5"/>
      <c r="D14" s="5"/>
      <c r="E14" s="5"/>
      <c r="F14" s="2"/>
      <c r="G14" s="2"/>
      <c r="H14" s="2"/>
    </row>
    <row r="15" customFormat="false" ht="15" hidden="false" customHeight="false" outlineLevel="0" collapsed="false">
      <c r="A15" s="9" t="s">
        <v>390</v>
      </c>
      <c r="B15" s="3" t="s">
        <v>391</v>
      </c>
      <c r="C15" s="23" t="n">
        <f aca="false">data_payload_b+6+LEN(topic_data)+tls_b+tcpip_b</f>
        <v>1332</v>
      </c>
      <c r="D15" s="9" t="s">
        <v>222</v>
      </c>
      <c r="E15" s="3" t="s">
        <v>392</v>
      </c>
      <c r="F15" s="2"/>
      <c r="G15" s="2"/>
      <c r="H15" s="2"/>
    </row>
    <row r="16" customFormat="false" ht="15" hidden="false" customHeight="false" outlineLevel="0" collapsed="false">
      <c r="A16" s="9" t="s">
        <v>393</v>
      </c>
      <c r="B16" s="3" t="s">
        <v>394</v>
      </c>
      <c r="C16" s="23" t="n">
        <f aca="false">sys_payload+6+LEN(topic_sys)+tls_b+tcpip_b</f>
        <v>418</v>
      </c>
      <c r="D16" s="9" t="s">
        <v>222</v>
      </c>
      <c r="E16" s="3" t="s">
        <v>395</v>
      </c>
      <c r="F16" s="2"/>
      <c r="G16" s="2"/>
      <c r="H16" s="2"/>
    </row>
    <row r="17" customFormat="false" ht="15" hidden="false" customHeight="false" outlineLevel="0" collapsed="false">
      <c r="A17" s="9" t="s">
        <v>396</v>
      </c>
      <c r="B17" s="3" t="s">
        <v>397</v>
      </c>
      <c r="C17" s="23" t="n">
        <f aca="false">4+tls_b+tcpip_b</f>
        <v>85</v>
      </c>
      <c r="D17" s="9" t="s">
        <v>222</v>
      </c>
      <c r="E17" s="3" t="s">
        <v>398</v>
      </c>
      <c r="F17" s="2"/>
      <c r="G17" s="2"/>
      <c r="H17" s="2"/>
    </row>
    <row r="18" customFormat="false" ht="15" hidden="false" customHeight="false" outlineLevel="0" collapsed="false">
      <c r="A18" s="9" t="s">
        <v>399</v>
      </c>
      <c r="B18" s="3" t="s">
        <v>400</v>
      </c>
      <c r="C18" s="23" t="n">
        <f aca="false">tcpip_b</f>
        <v>52</v>
      </c>
      <c r="D18" s="9" t="s">
        <v>222</v>
      </c>
      <c r="E18" s="3" t="s">
        <v>401</v>
      </c>
      <c r="F18" s="2"/>
      <c r="G18" s="2"/>
      <c r="H18" s="2"/>
    </row>
    <row r="19" customFormat="false" ht="15" hidden="false" customHeight="false" outlineLevel="0" collapsed="false">
      <c r="A19" s="9" t="s">
        <v>402</v>
      </c>
      <c r="B19" s="3" t="s">
        <v>403</v>
      </c>
      <c r="C19" s="29" t="n">
        <f aca="false">(data_msgs_day*data_payload_b+sys_msgs_day*sys_payload)/1000000</f>
        <v>5.80032</v>
      </c>
      <c r="D19" s="9" t="s">
        <v>404</v>
      </c>
      <c r="E19" s="3" t="s">
        <v>64</v>
      </c>
      <c r="F19" s="2"/>
      <c r="G19" s="2"/>
      <c r="H19" s="2"/>
    </row>
    <row r="20" customFormat="false" ht="15" hidden="false" customHeight="false" outlineLevel="0" collapsed="false">
      <c r="A20" s="9" t="s">
        <v>405</v>
      </c>
      <c r="B20" s="3" t="s">
        <v>406</v>
      </c>
      <c r="C20" s="29" t="n">
        <f aca="false">(data_msgs_day*(data_up_b+ack_down_b+ack_up_b)+sys_msgs_day*(sys_up_b+ack_down_b+ack_up_b))/1000000</f>
        <v>7.14528</v>
      </c>
      <c r="D20" s="9" t="s">
        <v>404</v>
      </c>
      <c r="E20" s="3" t="s">
        <v>407</v>
      </c>
      <c r="F20" s="2"/>
      <c r="G20" s="2"/>
      <c r="H20" s="2"/>
    </row>
    <row r="21" customFormat="false" ht="15" hidden="false" customHeight="false" outlineLevel="0" collapsed="false">
      <c r="A21" s="9" t="s">
        <v>408</v>
      </c>
      <c r="B21" s="3" t="s">
        <v>409</v>
      </c>
      <c r="C21" s="29" t="n">
        <f aca="false">payload_day_mb*days_month</f>
        <v>176.4264</v>
      </c>
      <c r="D21" s="9" t="s">
        <v>410</v>
      </c>
      <c r="E21" s="3"/>
      <c r="F21" s="2"/>
      <c r="G21" s="2"/>
      <c r="H21" s="2"/>
    </row>
    <row r="22" customFormat="false" ht="15" hidden="false" customHeight="false" outlineLevel="0" collapsed="false">
      <c r="A22" s="9" t="s">
        <v>411</v>
      </c>
      <c r="B22" s="3" t="s">
        <v>412</v>
      </c>
      <c r="C22" s="29" t="n">
        <f aca="false">wire_day_mb*days_month</f>
        <v>217.3356</v>
      </c>
      <c r="D22" s="9" t="s">
        <v>410</v>
      </c>
      <c r="E22" s="3" t="s">
        <v>413</v>
      </c>
      <c r="F22" s="2"/>
      <c r="G22" s="2"/>
      <c r="H22" s="2"/>
    </row>
    <row r="23" customFormat="false" ht="15" hidden="false" customHeight="false" outlineLevel="0" collapsed="false">
      <c r="A23" s="9" t="s">
        <v>61</v>
      </c>
      <c r="B23" s="3" t="s">
        <v>414</v>
      </c>
      <c r="C23" s="23" t="n">
        <f aca="false">(data_msgs_day+sys_msgs_day)*days_month</f>
        <v>175200</v>
      </c>
      <c r="D23" s="9" t="s">
        <v>415</v>
      </c>
      <c r="E23" s="3"/>
      <c r="F23" s="2"/>
      <c r="G23" s="2"/>
      <c r="H23" s="2"/>
    </row>
    <row r="24" customFormat="false" ht="15" hidden="false" customHeight="false" outlineLevel="0" collapsed="false">
      <c r="A24" s="9" t="s">
        <v>416</v>
      </c>
      <c r="B24" s="3" t="s">
        <v>417</v>
      </c>
      <c r="C24" s="23" t="n">
        <f aca="false">(data_msgs_day*ROUNDUP(data_payload_b/5120,0)+sys_msgs_day*ROUNDUP(sys_payload/5120,0))*days_month</f>
        <v>175200</v>
      </c>
      <c r="D24" s="9" t="s">
        <v>415</v>
      </c>
      <c r="E24" s="3" t="s">
        <v>418</v>
      </c>
      <c r="F24" s="2"/>
      <c r="G24" s="2"/>
      <c r="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4" t="s">
        <v>419</v>
      </c>
      <c r="B26" s="5"/>
      <c r="C26" s="5"/>
      <c r="D26" s="5"/>
      <c r="E26" s="5"/>
      <c r="F26" s="2"/>
      <c r="G26" s="2"/>
      <c r="H26" s="2"/>
    </row>
    <row r="27" customFormat="false" ht="15" hidden="false" customHeight="false" outlineLevel="0" collapsed="false">
      <c r="A27" s="9" t="s">
        <v>420</v>
      </c>
      <c r="B27" s="3" t="s">
        <v>421</v>
      </c>
      <c r="C27" s="23" t="n">
        <f aca="false">data_payload_b+iot_added_b</f>
        <v>1282</v>
      </c>
      <c r="D27" s="9" t="s">
        <v>222</v>
      </c>
      <c r="E27" s="3" t="s">
        <v>422</v>
      </c>
      <c r="F27" s="2"/>
      <c r="G27" s="2"/>
      <c r="H27" s="2"/>
    </row>
    <row r="28" customFormat="false" ht="15" hidden="false" customHeight="false" outlineLevel="0" collapsed="false">
      <c r="A28" s="9" t="s">
        <v>423</v>
      </c>
      <c r="B28" s="3" t="s">
        <v>424</v>
      </c>
      <c r="C28" s="23" t="n">
        <f aca="false">sys_payload+iot_added_b</f>
        <v>366</v>
      </c>
      <c r="D28" s="9" t="s">
        <v>222</v>
      </c>
      <c r="E28" s="3"/>
      <c r="F28" s="2"/>
      <c r="G28" s="2"/>
      <c r="H28" s="2"/>
    </row>
    <row r="29" customFormat="false" ht="15" hidden="false" customHeight="false" outlineLevel="0" collapsed="false">
      <c r="A29" s="9" t="s">
        <v>425</v>
      </c>
      <c r="B29" s="3" t="s">
        <v>426</v>
      </c>
      <c r="C29" s="23" t="n">
        <f aca="false">data_msgs_day*data_rec_b</f>
        <v>5538240</v>
      </c>
      <c r="D29" s="9" t="s">
        <v>427</v>
      </c>
      <c r="E29" s="3" t="s">
        <v>428</v>
      </c>
      <c r="F29" s="2"/>
      <c r="G29" s="2"/>
      <c r="H29" s="2"/>
    </row>
    <row r="30" customFormat="false" ht="15" hidden="false" customHeight="false" outlineLevel="0" collapsed="false">
      <c r="A30" s="9" t="s">
        <v>429</v>
      </c>
      <c r="B30" s="3" t="s">
        <v>430</v>
      </c>
      <c r="C30" s="23" t="n">
        <f aca="false">sys_msgs_day*sys_rec_b</f>
        <v>527040</v>
      </c>
      <c r="D30" s="9" t="s">
        <v>427</v>
      </c>
      <c r="E30" s="3"/>
      <c r="F30" s="2"/>
      <c r="G30" s="2"/>
      <c r="H30" s="2"/>
    </row>
    <row r="31" customFormat="false" ht="15" hidden="false" customHeight="false" outlineLevel="0" collapsed="false">
      <c r="A31" s="9" t="s">
        <v>431</v>
      </c>
      <c r="B31" s="3" t="s">
        <v>432</v>
      </c>
      <c r="C31" s="30" t="n">
        <f aca="false">(raw_day_data+raw_day_sys)*days_month/1073741824</f>
        <v>0.171815603971481</v>
      </c>
      <c r="D31" s="9" t="s">
        <v>433</v>
      </c>
      <c r="E31" s="3" t="s">
        <v>434</v>
      </c>
      <c r="F31" s="2"/>
      <c r="G31" s="2"/>
      <c r="H31" s="2"/>
    </row>
    <row r="32" customFormat="false" ht="15" hidden="false" customHeight="false" outlineLevel="0" collapsed="false">
      <c r="A32" s="9" t="s">
        <v>435</v>
      </c>
      <c r="B32" s="3" t="s">
        <v>436</v>
      </c>
      <c r="C32" s="30" t="n">
        <f aca="false">(data_msgs_day*ROUNDUP(data_rec_b/5120,0)+sys_msgs_day*ROUNDUP(sys_rec_b/5120,0))*5120*days_month/1073741824</f>
        <v>0.835418701171875</v>
      </c>
      <c r="D32" s="9" t="s">
        <v>433</v>
      </c>
      <c r="E32" s="3" t="s">
        <v>437</v>
      </c>
      <c r="F32" s="2"/>
      <c r="G32" s="2"/>
      <c r="H32" s="2"/>
    </row>
    <row r="33" customFormat="false" ht="15" hidden="false" customHeight="false" outlineLevel="0" collapsed="false">
      <c r="A33" s="9" t="s">
        <v>438</v>
      </c>
      <c r="B33" s="3" t="s">
        <v>439</v>
      </c>
      <c r="C33" s="23" t="n">
        <f aca="false">MIN(data_msgs_day,86400/fh_buffer_s)</f>
        <v>1440</v>
      </c>
      <c r="D33" s="9" t="s">
        <v>440</v>
      </c>
      <c r="E33" s="3" t="s">
        <v>441</v>
      </c>
      <c r="F33" s="2"/>
      <c r="G33" s="2"/>
      <c r="H33" s="2"/>
    </row>
    <row r="34" customFormat="false" ht="15" hidden="false" customHeight="false" outlineLevel="0" collapsed="false">
      <c r="A34" s="9" t="s">
        <v>442</v>
      </c>
      <c r="B34" s="3" t="s">
        <v>443</v>
      </c>
      <c r="C34" s="23" t="n">
        <f aca="false">MIN(sys_msgs_day,86400/fh_buffer_s)</f>
        <v>1440</v>
      </c>
      <c r="D34" s="9" t="s">
        <v>440</v>
      </c>
      <c r="E34" s="3"/>
      <c r="F34" s="2"/>
      <c r="G34" s="2"/>
      <c r="H34" s="2"/>
    </row>
    <row r="35" customFormat="false" ht="15" hidden="false" customHeight="false" outlineLevel="0" collapsed="false">
      <c r="A35" s="9" t="s">
        <v>444</v>
      </c>
      <c r="B35" s="3" t="s">
        <v>445</v>
      </c>
      <c r="C35" s="23" t="n">
        <f aca="false">(objs_day_data+objs_day_sys)*days_month</f>
        <v>87600</v>
      </c>
      <c r="D35" s="9" t="s">
        <v>252</v>
      </c>
      <c r="E35" s="3"/>
      <c r="F35" s="2"/>
      <c r="G35" s="2"/>
      <c r="H35" s="2"/>
    </row>
    <row r="36" customFormat="false" ht="15" hidden="false" customHeight="false" outlineLevel="0" collapsed="false">
      <c r="A36" s="9" t="s">
        <v>446</v>
      </c>
      <c r="B36" s="3" t="s">
        <v>447</v>
      </c>
      <c r="C36" s="23" t="n">
        <f aca="false">msgs_month</f>
        <v>175200</v>
      </c>
      <c r="D36" s="9" t="s">
        <v>252</v>
      </c>
      <c r="E36" s="3" t="s">
        <v>448</v>
      </c>
      <c r="F36" s="2"/>
      <c r="G36" s="2"/>
      <c r="H36" s="2"/>
    </row>
    <row r="37" customFormat="false" ht="15" hidden="false" customHeight="false" outlineLevel="0" collapsed="false">
      <c r="A37" s="9" t="s">
        <v>449</v>
      </c>
      <c r="B37" s="3" t="s">
        <v>450</v>
      </c>
      <c r="C37" s="30" t="n">
        <f aca="false">raw_gb_month*months_kept+(tests_month+weekly_reports)*report_mb*months_kept/1024</f>
        <v>2.09069349765778</v>
      </c>
      <c r="D37" s="9" t="s">
        <v>351</v>
      </c>
      <c r="E37" s="3" t="s">
        <v>451</v>
      </c>
      <c r="F37" s="2"/>
      <c r="G37" s="2"/>
      <c r="H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A39" s="4" t="s">
        <v>452</v>
      </c>
      <c r="B39" s="5"/>
      <c r="C39" s="5"/>
      <c r="D39" s="5"/>
      <c r="E39" s="5"/>
      <c r="F39" s="2"/>
      <c r="G39" s="2"/>
      <c r="H39" s="2"/>
    </row>
    <row r="40" customFormat="false" ht="15" hidden="false" customHeight="false" outlineLevel="0" collapsed="false">
      <c r="A40" s="9" t="s">
        <v>453</v>
      </c>
      <c r="B40" s="3" t="s">
        <v>454</v>
      </c>
      <c r="C40" s="23" t="n">
        <f aca="false">viewers*hours_open*3600/live_poll_s*days_month</f>
        <v>87600</v>
      </c>
      <c r="D40" s="9" t="s">
        <v>455</v>
      </c>
      <c r="E40" s="3" t="s">
        <v>456</v>
      </c>
      <c r="F40" s="2"/>
      <c r="G40" s="2"/>
      <c r="H40" s="2"/>
    </row>
    <row r="41" customFormat="false" ht="15" hidden="false" customHeight="false" outlineLevel="0" collapsed="false">
      <c r="A41" s="9" t="s">
        <v>457</v>
      </c>
      <c r="B41" s="3" t="s">
        <v>458</v>
      </c>
      <c r="C41" s="23" t="n">
        <f aca="false">page_loads*days_month</f>
        <v>304.166666666667</v>
      </c>
      <c r="D41" s="9" t="s">
        <v>459</v>
      </c>
      <c r="E41" s="3"/>
      <c r="F41" s="2"/>
      <c r="G41" s="2"/>
      <c r="H41" s="2"/>
    </row>
    <row r="42" customFormat="false" ht="15" hidden="false" customHeight="false" outlineLevel="0" collapsed="false">
      <c r="A42" s="9" t="s">
        <v>460</v>
      </c>
      <c r="B42" s="3" t="s">
        <v>461</v>
      </c>
      <c r="C42" s="23" t="n">
        <f aca="false">history_q*days_month</f>
        <v>608.333333333333</v>
      </c>
      <c r="D42" s="9" t="s">
        <v>462</v>
      </c>
      <c r="E42" s="3"/>
      <c r="F42" s="2"/>
      <c r="G42" s="2"/>
      <c r="H42" s="2"/>
    </row>
    <row r="43" customFormat="false" ht="15" hidden="false" customHeight="false" outlineLevel="0" collapsed="false">
      <c r="A43" s="9" t="s">
        <v>463</v>
      </c>
      <c r="B43" s="3" t="s">
        <v>464</v>
      </c>
      <c r="C43" s="23" t="n">
        <f aca="false">tests_month+weekly_reports</f>
        <v>12.3333333333333</v>
      </c>
      <c r="D43" s="9" t="s">
        <v>465</v>
      </c>
      <c r="E43" s="3" t="s">
        <v>466</v>
      </c>
      <c r="F43" s="2"/>
      <c r="G43" s="2"/>
      <c r="H43" s="2"/>
    </row>
    <row r="44" customFormat="false" ht="15" hidden="false" customHeight="false" outlineLevel="0" collapsed="false">
      <c r="A44" s="9" t="s">
        <v>467</v>
      </c>
      <c r="B44" s="3" t="s">
        <v>468</v>
      </c>
      <c r="C44" s="23" t="n">
        <f aca="false">live_polls*2+page_loads_month*api_per_load+tests_month*api_per_test</f>
        <v>176784.833333333</v>
      </c>
      <c r="D44" s="9" t="s">
        <v>252</v>
      </c>
      <c r="E44" s="3" t="s">
        <v>469</v>
      </c>
      <c r="F44" s="2"/>
      <c r="G44" s="2"/>
      <c r="H44" s="2"/>
    </row>
    <row r="45" customFormat="false" ht="15" hidden="false" customHeight="false" outlineLevel="0" collapsed="false">
      <c r="A45" s="9" t="s">
        <v>470</v>
      </c>
      <c r="B45" s="3" t="s">
        <v>471</v>
      </c>
      <c r="C45" s="23" t="n">
        <f aca="false">history_month+exports</f>
        <v>618.333333333333</v>
      </c>
      <c r="D45" s="9" t="s">
        <v>252</v>
      </c>
      <c r="E45" s="3" t="s">
        <v>472</v>
      </c>
      <c r="F45" s="2"/>
      <c r="G45" s="2"/>
      <c r="H45" s="2"/>
    </row>
    <row r="46" customFormat="false" ht="15" hidden="false" customHeight="false" outlineLevel="0" collapsed="false">
      <c r="A46" s="9" t="s">
        <v>473</v>
      </c>
      <c r="B46" s="3" t="s">
        <v>474</v>
      </c>
      <c r="C46" s="23" t="n">
        <f aca="false">api_simple+api_athena</f>
        <v>177403.166666667</v>
      </c>
      <c r="D46" s="9" t="s">
        <v>252</v>
      </c>
      <c r="E46" s="3"/>
      <c r="F46" s="2"/>
      <c r="G46" s="2"/>
      <c r="H46" s="2"/>
    </row>
    <row r="47" customFormat="false" ht="15" hidden="false" customHeight="false" outlineLevel="0" collapsed="false">
      <c r="A47" s="9" t="s">
        <v>475</v>
      </c>
      <c r="B47" s="3" t="s">
        <v>476</v>
      </c>
      <c r="C47" s="23" t="n">
        <f aca="false">api_requests+reports_month</f>
        <v>177415.5</v>
      </c>
      <c r="D47" s="9" t="s">
        <v>477</v>
      </c>
      <c r="E47" s="3" t="s">
        <v>478</v>
      </c>
      <c r="F47" s="2"/>
      <c r="G47" s="2"/>
      <c r="H47" s="2"/>
    </row>
    <row r="48" customFormat="false" ht="15" hidden="false" customHeight="false" outlineLevel="0" collapsed="false">
      <c r="A48" s="9" t="s">
        <v>479</v>
      </c>
      <c r="B48" s="3" t="s">
        <v>480</v>
      </c>
      <c r="C48" s="29" t="n">
        <f aca="false">(api_simple*api_ms/1000+api_athena*athena_ms/1000)*api_mem_mb/1024+reports_month*report_s*report_mem_mb/1024</f>
        <v>10445.9083333333</v>
      </c>
      <c r="D48" s="9" t="s">
        <v>481</v>
      </c>
      <c r="E48" s="3" t="s">
        <v>482</v>
      </c>
      <c r="F48" s="2"/>
      <c r="G48" s="2"/>
      <c r="H48" s="2"/>
    </row>
    <row r="49" customFormat="false" ht="15" hidden="false" customHeight="false" outlineLevel="0" collapsed="false">
      <c r="A49" s="9" t="s">
        <v>483</v>
      </c>
      <c r="B49" s="3" t="s">
        <v>484</v>
      </c>
      <c r="C49" s="30" t="n">
        <f aca="false">(live_polls*(live_base_b+live_sensor_b*active_sensors+active_resp_b)+api_athena*history_resp_kb*1024)/1073741824</f>
        <v>0.286473582188288</v>
      </c>
      <c r="D49" s="9" t="s">
        <v>351</v>
      </c>
      <c r="E49" s="3"/>
      <c r="F49" s="2"/>
      <c r="G49" s="2"/>
      <c r="H49" s="2"/>
    </row>
    <row r="50" customFormat="false" ht="15" hidden="false" customHeight="false" outlineLevel="0" collapsed="false">
      <c r="A50" s="9" t="s">
        <v>485</v>
      </c>
      <c r="B50" s="3" t="s">
        <v>486</v>
      </c>
      <c r="C50" s="23" t="n">
        <f aca="false">live_polls+page_loads_month*2+tests_month*api_per_test</f>
        <v>88272.3333333333</v>
      </c>
      <c r="D50" s="9" t="s">
        <v>487</v>
      </c>
      <c r="E50" s="3" t="s">
        <v>488</v>
      </c>
      <c r="F50" s="2"/>
      <c r="G50" s="2"/>
      <c r="H50" s="2"/>
    </row>
    <row r="51" customFormat="false" ht="15" hidden="false" customHeight="false" outlineLevel="0" collapsed="false">
      <c r="A51" s="9" t="s">
        <v>489</v>
      </c>
      <c r="B51" s="3" t="s">
        <v>490</v>
      </c>
      <c r="C51" s="23" t="n">
        <f aca="false">tests_month*ddb_writes_test</f>
        <v>80</v>
      </c>
      <c r="D51" s="9" t="s">
        <v>491</v>
      </c>
      <c r="E51" s="3"/>
      <c r="F51" s="2"/>
      <c r="G51" s="2"/>
      <c r="H51" s="2"/>
    </row>
    <row r="52" customFormat="false" ht="15" hidden="false" customHeight="false" outlineLevel="0" collapsed="false">
      <c r="A52" s="9" t="s">
        <v>492</v>
      </c>
      <c r="B52" s="3" t="s">
        <v>493</v>
      </c>
      <c r="C52" s="23" t="n">
        <f aca="false">page_loads_month*web_files</f>
        <v>4562.5</v>
      </c>
      <c r="D52" s="9" t="s">
        <v>252</v>
      </c>
      <c r="E52" s="3"/>
      <c r="F52" s="2"/>
      <c r="G52" s="2"/>
      <c r="H52" s="2"/>
    </row>
    <row r="53" customFormat="false" ht="15" hidden="false" customHeight="false" outlineLevel="0" collapsed="false">
      <c r="A53" s="9" t="s">
        <v>494</v>
      </c>
      <c r="B53" s="3" t="s">
        <v>495</v>
      </c>
      <c r="C53" s="30" t="n">
        <f aca="false">page_loads_month*web_kb*1024/1073741824</f>
        <v>0.0136335690816244</v>
      </c>
      <c r="D53" s="9" t="s">
        <v>351</v>
      </c>
      <c r="E53" s="3"/>
      <c r="F53" s="2"/>
      <c r="G53" s="2"/>
      <c r="H53" s="2"/>
    </row>
    <row r="54" customFormat="false" ht="15" hidden="false" customHeight="false" outlineLevel="0" collapsed="false">
      <c r="A54" s="9" t="s">
        <v>496</v>
      </c>
      <c r="B54" s="3" t="s">
        <v>497</v>
      </c>
      <c r="C54" s="23" t="n">
        <f aca="false">live_polls*2+page_loads_month*web_files+hours_open*12*days_month</f>
        <v>182682.5</v>
      </c>
      <c r="D54" s="9" t="s">
        <v>252</v>
      </c>
      <c r="E54" s="3" t="s">
        <v>498</v>
      </c>
      <c r="F54" s="2"/>
      <c r="G54" s="2"/>
      <c r="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5" hidden="false" customHeight="false" outlineLevel="0" collapsed="false">
      <c r="A56" s="4" t="s">
        <v>499</v>
      </c>
      <c r="B56" s="5"/>
      <c r="C56" s="5"/>
      <c r="D56" s="5"/>
      <c r="E56" s="5"/>
      <c r="F56" s="2"/>
      <c r="G56" s="2"/>
      <c r="H56" s="2"/>
    </row>
    <row r="57" customFormat="false" ht="15" hidden="false" customHeight="false" outlineLevel="0" collapsed="false">
      <c r="A57" s="9" t="s">
        <v>500</v>
      </c>
      <c r="B57" s="3" t="s">
        <v>501</v>
      </c>
      <c r="C57" s="23" t="n">
        <f aca="false">MAX(athena_min_mb*1048576,raw_day_data*(history_days+1))</f>
        <v>11076480</v>
      </c>
      <c r="D57" s="9" t="s">
        <v>222</v>
      </c>
      <c r="E57" s="3" t="s">
        <v>502</v>
      </c>
      <c r="F57" s="2"/>
      <c r="G57" s="2"/>
      <c r="H57" s="2"/>
    </row>
    <row r="58" customFormat="false" ht="15" hidden="false" customHeight="false" outlineLevel="0" collapsed="false">
      <c r="A58" s="9" t="s">
        <v>503</v>
      </c>
      <c r="B58" s="3" t="s">
        <v>504</v>
      </c>
      <c r="C58" s="23" t="n">
        <f aca="false">ROUNDUP(test_hours/24,0)+1</f>
        <v>2</v>
      </c>
      <c r="D58" s="9" t="s">
        <v>167</v>
      </c>
      <c r="E58" s="3"/>
      <c r="F58" s="2"/>
      <c r="G58" s="2"/>
      <c r="H58" s="2"/>
    </row>
    <row r="59" customFormat="false" ht="15" hidden="false" customHeight="false" outlineLevel="0" collapsed="false">
      <c r="A59" s="9" t="s">
        <v>505</v>
      </c>
      <c r="B59" s="3" t="s">
        <v>506</v>
      </c>
      <c r="C59" s="23" t="n">
        <f aca="false">2*MAX(athena_min_mb*1048576,raw_day_data*test_days)+MAX(athena_min_mb*1048576,raw_day_sys*test_days)</f>
        <v>32638720</v>
      </c>
      <c r="D59" s="9" t="s">
        <v>222</v>
      </c>
      <c r="E59" s="3" t="s">
        <v>507</v>
      </c>
      <c r="F59" s="2"/>
      <c r="G59" s="2"/>
      <c r="H59" s="2"/>
    </row>
    <row r="60" customFormat="false" ht="15" hidden="false" customHeight="false" outlineLevel="0" collapsed="false">
      <c r="A60" s="9" t="s">
        <v>508</v>
      </c>
      <c r="B60" s="3" t="s">
        <v>509</v>
      </c>
      <c r="C60" s="23" t="n">
        <f aca="false">2*MAX(athena_min_mb*1048576,raw_day_data*8)+MAX(athena_min_mb*1048576,raw_day_sys*8)</f>
        <v>99097600</v>
      </c>
      <c r="D60" s="9" t="s">
        <v>222</v>
      </c>
      <c r="E60" s="3" t="s">
        <v>510</v>
      </c>
      <c r="F60" s="2"/>
      <c r="G60" s="2"/>
      <c r="H60" s="2"/>
    </row>
    <row r="61" customFormat="false" ht="15" hidden="false" customHeight="false" outlineLevel="0" collapsed="false">
      <c r="A61" s="9" t="s">
        <v>511</v>
      </c>
      <c r="B61" s="3" t="s">
        <v>512</v>
      </c>
      <c r="C61" s="23" t="n">
        <f aca="false">api_athena+3*reports_month</f>
        <v>655.333333333333</v>
      </c>
      <c r="D61" s="9" t="s">
        <v>462</v>
      </c>
      <c r="E61" s="3"/>
      <c r="F61" s="2"/>
      <c r="G61" s="2"/>
      <c r="H61" s="2"/>
    </row>
    <row r="62" customFormat="false" ht="15" hidden="false" customHeight="false" outlineLevel="0" collapsed="false">
      <c r="A62" s="9" t="s">
        <v>513</v>
      </c>
      <c r="B62" s="3" t="s">
        <v>514</v>
      </c>
      <c r="C62" s="31" t="n">
        <f aca="false">(api_athena*q_hist_b+tests_month*q_test_b+weekly_reports*q_week_b)/1099511627776</f>
        <v>0.00685712574825933</v>
      </c>
      <c r="D62" s="9" t="s">
        <v>515</v>
      </c>
      <c r="E62" s="3"/>
      <c r="F62" s="2"/>
      <c r="G62" s="2"/>
      <c r="H62" s="2"/>
    </row>
    <row r="63" customFormat="false" ht="15" hidden="false" customHeight="false" outlineLevel="0" collapsed="false">
      <c r="A63" s="9" t="s">
        <v>516</v>
      </c>
      <c r="B63" s="3" t="s">
        <v>517</v>
      </c>
      <c r="C63" s="23" t="n">
        <f aca="false">api_athena*(history_days+1)*objs_day_data+tests_month*test_days*(2*objs_day_data+objs_day_sys)+weekly_reports*8*(2*objs_day_data+objs_day_sys)</f>
        <v>1999680</v>
      </c>
      <c r="D63" s="9" t="s">
        <v>252</v>
      </c>
      <c r="E63" s="3" t="s">
        <v>518</v>
      </c>
      <c r="F63" s="2"/>
      <c r="G63" s="2"/>
      <c r="H63" s="2"/>
    </row>
    <row r="64" customFormat="false" ht="15" hidden="false" customHeight="false" outlineLevel="0" collapsed="false">
      <c r="A64" s="9" t="s">
        <v>519</v>
      </c>
      <c r="B64" s="3" t="s">
        <v>520</v>
      </c>
      <c r="C64" s="23" t="n">
        <f aca="false">athena_queries*2+exports+reports_month*2</f>
        <v>1345.33333333333</v>
      </c>
      <c r="D64" s="9" t="s">
        <v>252</v>
      </c>
      <c r="E64" s="3" t="s">
        <v>521</v>
      </c>
      <c r="F64" s="2"/>
      <c r="G64" s="2"/>
      <c r="H64" s="2"/>
    </row>
    <row r="65" customFormat="false" ht="15" hidden="false" customHeight="false" outlineLevel="0" collapsed="false">
      <c r="A65" s="9" t="s">
        <v>522</v>
      </c>
      <c r="B65" s="3" t="s">
        <v>523</v>
      </c>
      <c r="C65" s="23" t="n">
        <f aca="false">athena_queries*glue_per_query</f>
        <v>2621.33333333333</v>
      </c>
      <c r="D65" s="9" t="s">
        <v>252</v>
      </c>
      <c r="E65" s="3"/>
      <c r="F65" s="2"/>
      <c r="G65" s="2"/>
      <c r="H65" s="2"/>
    </row>
    <row r="66" customFormat="false" ht="15" hidden="false" customHeight="false" outlineLevel="0" collapsed="false">
      <c r="A66" s="9" t="s">
        <v>524</v>
      </c>
      <c r="B66" s="3" t="s">
        <v>525</v>
      </c>
      <c r="C66" s="30" t="n">
        <f aca="false">lambda_inv*log_kb*1024/1073741824</f>
        <v>0.0845983028411865</v>
      </c>
      <c r="D66" s="9" t="s">
        <v>433</v>
      </c>
      <c r="E66" s="3"/>
      <c r="F66" s="2"/>
      <c r="G66" s="2"/>
      <c r="H66" s="2"/>
    </row>
    <row r="67" customFormat="false" ht="15" hidden="false" customHeight="false" outlineLevel="0" collapsed="false">
      <c r="A67" s="9" t="s">
        <v>526</v>
      </c>
      <c r="B67" s="3" t="s">
        <v>527</v>
      </c>
      <c r="C67" s="30" t="n">
        <f aca="false">logs_gb*months_kept</f>
        <v>1.01517963409424</v>
      </c>
      <c r="D67" s="9" t="s">
        <v>351</v>
      </c>
      <c r="E67" s="3" t="s">
        <v>528</v>
      </c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7.35" hidden="false" customHeight="false" outlineLevel="0" collapsed="false">
      <c r="A70" s="1" t="s">
        <v>529</v>
      </c>
      <c r="B70" s="2"/>
      <c r="C70" s="2"/>
      <c r="D70" s="2"/>
      <c r="E70" s="2"/>
      <c r="F70" s="2"/>
      <c r="G70" s="2"/>
      <c r="H70" s="2"/>
    </row>
    <row r="71" customFormat="false" ht="15" hidden="false" customHeight="false" outlineLevel="0" collapsed="false">
      <c r="A71" s="17" t="s">
        <v>82</v>
      </c>
      <c r="B71" s="17" t="s">
        <v>307</v>
      </c>
      <c r="C71" s="17" t="s">
        <v>530</v>
      </c>
      <c r="D71" s="17" t="s">
        <v>531</v>
      </c>
      <c r="E71" s="17" t="s">
        <v>532</v>
      </c>
      <c r="F71" s="17" t="s">
        <v>533</v>
      </c>
      <c r="G71" s="17" t="s">
        <v>534</v>
      </c>
      <c r="H71" s="17" t="s">
        <v>535</v>
      </c>
    </row>
    <row r="72" customFormat="false" ht="15" hidden="false" customHeight="false" outlineLevel="0" collapsed="false">
      <c r="A72" s="32" t="s">
        <v>85</v>
      </c>
      <c r="B72" s="32" t="s">
        <v>536</v>
      </c>
      <c r="C72" s="33" t="n">
        <f aca="false">1440*days_month/1000000</f>
        <v>0.0438</v>
      </c>
      <c r="D72" s="32" t="s">
        <v>537</v>
      </c>
      <c r="E72" s="11" t="n">
        <f aca="false">p_iot_conn_free*free_flag</f>
        <v>0</v>
      </c>
      <c r="F72" s="33" t="n">
        <f aca="false">MAX(0,C72-E72)</f>
        <v>0.0438</v>
      </c>
      <c r="G72" s="16" t="n">
        <f aca="false">p_iot_conn</f>
        <v>0.08</v>
      </c>
      <c r="H72" s="34" t="n">
        <f aca="false">F72*G72</f>
        <v>0.003504</v>
      </c>
    </row>
    <row r="73" customFormat="false" ht="15" hidden="false" customHeight="false" outlineLevel="0" collapsed="false">
      <c r="A73" s="32" t="s">
        <v>85</v>
      </c>
      <c r="B73" s="32" t="s">
        <v>538</v>
      </c>
      <c r="C73" s="33" t="n">
        <f aca="false">iot_billed_month/1000000</f>
        <v>0.1752</v>
      </c>
      <c r="D73" s="32" t="s">
        <v>316</v>
      </c>
      <c r="E73" s="11" t="n">
        <f aca="false">p_iot_msg_free*free_flag</f>
        <v>0</v>
      </c>
      <c r="F73" s="33" t="n">
        <f aca="false">MAX(0,C73-E73)</f>
        <v>0.1752</v>
      </c>
      <c r="G73" s="16" t="n">
        <f aca="false">p_iot_msg</f>
        <v>1</v>
      </c>
      <c r="H73" s="34" t="n">
        <f aca="false">F73*G73</f>
        <v>0.1752</v>
      </c>
    </row>
    <row r="74" customFormat="false" ht="15" hidden="false" customHeight="false" outlineLevel="0" collapsed="false">
      <c r="A74" s="32" t="s">
        <v>85</v>
      </c>
      <c r="B74" s="32" t="s">
        <v>317</v>
      </c>
      <c r="C74" s="33" t="n">
        <f aca="false">msgs_month/1000000</f>
        <v>0.1752</v>
      </c>
      <c r="D74" s="32" t="s">
        <v>318</v>
      </c>
      <c r="E74" s="11" t="n">
        <f aca="false">p_iot_rule_free*free_flag</f>
        <v>0</v>
      </c>
      <c r="F74" s="33" t="n">
        <f aca="false">MAX(0,C74-E74)</f>
        <v>0.1752</v>
      </c>
      <c r="G74" s="16" t="n">
        <f aca="false">p_iot_rule</f>
        <v>0.15</v>
      </c>
      <c r="H74" s="34" t="n">
        <f aca="false">F74*G74</f>
        <v>0.02628</v>
      </c>
    </row>
    <row r="75" customFormat="false" ht="15" hidden="false" customHeight="false" outlineLevel="0" collapsed="false">
      <c r="A75" s="32" t="s">
        <v>85</v>
      </c>
      <c r="B75" s="32" t="s">
        <v>539</v>
      </c>
      <c r="C75" s="33" t="n">
        <f aca="false">msgs_month*2/1000000</f>
        <v>0.3504</v>
      </c>
      <c r="D75" s="32" t="s">
        <v>320</v>
      </c>
      <c r="E75" s="11" t="n">
        <f aca="false">p_iot_action_free*free_flag</f>
        <v>0</v>
      </c>
      <c r="F75" s="33" t="n">
        <f aca="false">MAX(0,C75-E75)</f>
        <v>0.3504</v>
      </c>
      <c r="G75" s="16" t="n">
        <f aca="false">p_iot_action</f>
        <v>0.15</v>
      </c>
      <c r="H75" s="34" t="n">
        <f aca="false">F75*G75</f>
        <v>0.05256</v>
      </c>
    </row>
    <row r="76" customFormat="false" ht="15" hidden="false" customHeight="false" outlineLevel="0" collapsed="false">
      <c r="A76" s="32" t="s">
        <v>86</v>
      </c>
      <c r="B76" s="32" t="s">
        <v>540</v>
      </c>
      <c r="C76" s="33" t="n">
        <f aca="false">fh_gb_month</f>
        <v>0.835418701171875</v>
      </c>
      <c r="D76" s="32" t="s">
        <v>351</v>
      </c>
      <c r="E76" s="11" t="n">
        <f aca="false">p_fh_free*free_flag</f>
        <v>0</v>
      </c>
      <c r="F76" s="33" t="n">
        <f aca="false">MAX(0,C76-E76)</f>
        <v>0.835418701171875</v>
      </c>
      <c r="G76" s="16" t="n">
        <f aca="false">p_fh</f>
        <v>0.029</v>
      </c>
      <c r="H76" s="34" t="n">
        <f aca="false">F76*G76</f>
        <v>0.0242271423339844</v>
      </c>
    </row>
    <row r="77" customFormat="false" ht="15" hidden="false" customHeight="false" outlineLevel="0" collapsed="false">
      <c r="A77" s="32" t="s">
        <v>87</v>
      </c>
      <c r="B77" s="32" t="s">
        <v>541</v>
      </c>
      <c r="C77" s="33" t="n">
        <f aca="false">latest_puts_month/1000</f>
        <v>175.2</v>
      </c>
      <c r="D77" s="32" t="s">
        <v>328</v>
      </c>
      <c r="E77" s="11" t="n">
        <f aca="false">p_s3_put_free*free_flag</f>
        <v>0</v>
      </c>
      <c r="F77" s="33" t="n">
        <f aca="false">MAX(0,C77-E77)</f>
        <v>175.2</v>
      </c>
      <c r="G77" s="16" t="n">
        <f aca="false">p_s3_put</f>
        <v>0.005</v>
      </c>
      <c r="H77" s="34" t="n">
        <f aca="false">F77*G77</f>
        <v>0.876</v>
      </c>
    </row>
    <row r="78" customFormat="false" ht="15" hidden="false" customHeight="false" outlineLevel="0" collapsed="false">
      <c r="A78" s="32" t="s">
        <v>87</v>
      </c>
      <c r="B78" s="32" t="s">
        <v>542</v>
      </c>
      <c r="C78" s="33" t="n">
        <f aca="false">fh_puts_month/1000</f>
        <v>87.6</v>
      </c>
      <c r="D78" s="32" t="s">
        <v>328</v>
      </c>
      <c r="E78" s="11" t="n">
        <f aca="false">p_s3_put_free*free_flag</f>
        <v>0</v>
      </c>
      <c r="F78" s="33" t="n">
        <f aca="false">MAX(0,C78-E78)</f>
        <v>87.6</v>
      </c>
      <c r="G78" s="16" t="n">
        <f aca="false">p_s3_put</f>
        <v>0.005</v>
      </c>
      <c r="H78" s="34" t="n">
        <f aca="false">F78*G78</f>
        <v>0.438</v>
      </c>
    </row>
    <row r="79" customFormat="false" ht="15" hidden="false" customHeight="false" outlineLevel="0" collapsed="false">
      <c r="A79" s="32" t="s">
        <v>87</v>
      </c>
      <c r="B79" s="32" t="s">
        <v>543</v>
      </c>
      <c r="C79" s="33" t="n">
        <f aca="false">s3_put_other/1000</f>
        <v>1.34533333333333</v>
      </c>
      <c r="D79" s="32" t="s">
        <v>328</v>
      </c>
      <c r="E79" s="11" t="n">
        <f aca="false">p_s3_put_free*free_flag</f>
        <v>0</v>
      </c>
      <c r="F79" s="33" t="n">
        <f aca="false">MAX(0,C79-E79)</f>
        <v>1.34533333333333</v>
      </c>
      <c r="G79" s="16" t="n">
        <f aca="false">p_s3_put</f>
        <v>0.005</v>
      </c>
      <c r="H79" s="34" t="n">
        <f aca="false">F79*G79</f>
        <v>0.00672666666666667</v>
      </c>
    </row>
    <row r="80" customFormat="false" ht="15" hidden="false" customHeight="false" outlineLevel="0" collapsed="false">
      <c r="A80" s="32" t="s">
        <v>87</v>
      </c>
      <c r="B80" s="32" t="s">
        <v>544</v>
      </c>
      <c r="C80" s="33" t="n">
        <f aca="false">s3_get_dash/1000</f>
        <v>182.6825</v>
      </c>
      <c r="D80" s="32" t="s">
        <v>328</v>
      </c>
      <c r="E80" s="11" t="n">
        <f aca="false">p_s3_get_free*free_flag</f>
        <v>0</v>
      </c>
      <c r="F80" s="33" t="n">
        <f aca="false">MAX(0,C80-E80)</f>
        <v>182.6825</v>
      </c>
      <c r="G80" s="16" t="n">
        <f aca="false">p_s3_get</f>
        <v>0.0004</v>
      </c>
      <c r="H80" s="34" t="n">
        <f aca="false">F80*G80</f>
        <v>0.073073</v>
      </c>
    </row>
    <row r="81" customFormat="false" ht="15" hidden="false" customHeight="false" outlineLevel="0" collapsed="false">
      <c r="A81" s="32" t="s">
        <v>87</v>
      </c>
      <c r="B81" s="32" t="s">
        <v>545</v>
      </c>
      <c r="C81" s="33" t="n">
        <f aca="false">s3_get_athena/1000</f>
        <v>1999.68</v>
      </c>
      <c r="D81" s="32" t="s">
        <v>328</v>
      </c>
      <c r="E81" s="11" t="n">
        <f aca="false">p_s3_get_free*free_flag</f>
        <v>0</v>
      </c>
      <c r="F81" s="33" t="n">
        <f aca="false">MAX(0,C81-E81)</f>
        <v>1999.68</v>
      </c>
      <c r="G81" s="16" t="n">
        <f aca="false">p_s3_get</f>
        <v>0.0004</v>
      </c>
      <c r="H81" s="34" t="n">
        <f aca="false">F81*G81</f>
        <v>0.799872</v>
      </c>
    </row>
    <row r="82" customFormat="false" ht="15" hidden="false" customHeight="false" outlineLevel="0" collapsed="false">
      <c r="A82" s="32" t="s">
        <v>87</v>
      </c>
      <c r="B82" s="32" t="s">
        <v>546</v>
      </c>
      <c r="C82" s="33" t="n">
        <f aca="false">s3_store_gb</f>
        <v>2.09069349765778</v>
      </c>
      <c r="D82" s="32" t="s">
        <v>325</v>
      </c>
      <c r="E82" s="11" t="n">
        <f aca="false">p_s3_gb_free*free_flag</f>
        <v>0</v>
      </c>
      <c r="F82" s="33" t="n">
        <f aca="false">MAX(0,C82-E82)</f>
        <v>2.09069349765778</v>
      </c>
      <c r="G82" s="16" t="n">
        <f aca="false">p_s3_gb</f>
        <v>0.023</v>
      </c>
      <c r="H82" s="34" t="n">
        <f aca="false">F82*G82</f>
        <v>0.0480859504461288</v>
      </c>
    </row>
    <row r="83" customFormat="false" ht="15" hidden="false" customHeight="false" outlineLevel="0" collapsed="false">
      <c r="A83" s="32" t="s">
        <v>88</v>
      </c>
      <c r="B83" s="32" t="s">
        <v>547</v>
      </c>
      <c r="C83" s="33" t="n">
        <f aca="false">athena_tb</f>
        <v>0.00685712574825933</v>
      </c>
      <c r="D83" s="32" t="s">
        <v>548</v>
      </c>
      <c r="E83" s="11" t="n">
        <f aca="false">p_athena_free*free_flag</f>
        <v>0</v>
      </c>
      <c r="F83" s="33" t="n">
        <f aca="false">MAX(0,C83-E83)</f>
        <v>0.00685712574825933</v>
      </c>
      <c r="G83" s="16" t="n">
        <f aca="false">p_athena</f>
        <v>5</v>
      </c>
      <c r="H83" s="34" t="n">
        <f aca="false">F83*G83</f>
        <v>0.0342856287412966</v>
      </c>
    </row>
    <row r="84" customFormat="false" ht="15" hidden="false" customHeight="false" outlineLevel="0" collapsed="false">
      <c r="A84" s="32" t="s">
        <v>89</v>
      </c>
      <c r="B84" s="32" t="s">
        <v>333</v>
      </c>
      <c r="C84" s="33" t="n">
        <f aca="false">glue_requests/1000000</f>
        <v>0.00262133333333333</v>
      </c>
      <c r="D84" s="32" t="s">
        <v>334</v>
      </c>
      <c r="E84" s="11" t="n">
        <f aca="false">p_glue_free*free_flag</f>
        <v>0</v>
      </c>
      <c r="F84" s="33" t="n">
        <f aca="false">MAX(0,C84-E84)</f>
        <v>0.00262133333333333</v>
      </c>
      <c r="G84" s="16" t="n">
        <f aca="false">p_glue</f>
        <v>1</v>
      </c>
      <c r="H84" s="34" t="n">
        <f aca="false">F84*G84</f>
        <v>0.00262133333333333</v>
      </c>
    </row>
    <row r="85" customFormat="false" ht="15" hidden="false" customHeight="false" outlineLevel="0" collapsed="false">
      <c r="A85" s="32" t="s">
        <v>90</v>
      </c>
      <c r="B85" s="32" t="s">
        <v>336</v>
      </c>
      <c r="C85" s="33" t="n">
        <f aca="false">lambda_inv/1000000</f>
        <v>0.1774155</v>
      </c>
      <c r="D85" s="32" t="s">
        <v>334</v>
      </c>
      <c r="E85" s="11" t="n">
        <f aca="false">p_lambda_req_free*free_flag</f>
        <v>0</v>
      </c>
      <c r="F85" s="33" t="n">
        <f aca="false">MAX(0,C85-E85)</f>
        <v>0.1774155</v>
      </c>
      <c r="G85" s="16" t="n">
        <f aca="false">p_lambda_req</f>
        <v>0.2</v>
      </c>
      <c r="H85" s="34" t="n">
        <f aca="false">F85*G85</f>
        <v>0.0354831</v>
      </c>
    </row>
    <row r="86" customFormat="false" ht="15" hidden="false" customHeight="false" outlineLevel="0" collapsed="false">
      <c r="A86" s="32" t="s">
        <v>90</v>
      </c>
      <c r="B86" s="32" t="s">
        <v>549</v>
      </c>
      <c r="C86" s="33" t="n">
        <f aca="false">lambda_gbs</f>
        <v>10445.9083333333</v>
      </c>
      <c r="D86" s="32" t="s">
        <v>481</v>
      </c>
      <c r="E86" s="11" t="n">
        <f aca="false">p_lambda_gbs_free*free_flag</f>
        <v>0</v>
      </c>
      <c r="F86" s="33" t="n">
        <f aca="false">MAX(0,C86-E86)</f>
        <v>10445.9083333333</v>
      </c>
      <c r="G86" s="16" t="n">
        <f aca="false">p_lambda_gbs</f>
        <v>1.33334E-005</v>
      </c>
      <c r="H86" s="34" t="n">
        <f aca="false">F86*G86</f>
        <v>0.139279474171667</v>
      </c>
    </row>
    <row r="87" customFormat="false" ht="15" hidden="false" customHeight="false" outlineLevel="0" collapsed="false">
      <c r="A87" s="32" t="s">
        <v>91</v>
      </c>
      <c r="B87" s="32" t="s">
        <v>550</v>
      </c>
      <c r="C87" s="33" t="n">
        <f aca="false">api_requests/1000000</f>
        <v>0.177403166666667</v>
      </c>
      <c r="D87" s="32" t="s">
        <v>334</v>
      </c>
      <c r="E87" s="11" t="n">
        <f aca="false">p_apigw_free*free_flag</f>
        <v>0</v>
      </c>
      <c r="F87" s="33" t="n">
        <f aca="false">MAX(0,C87-E87)</f>
        <v>0.177403166666667</v>
      </c>
      <c r="G87" s="16" t="n">
        <f aca="false">p_apigw</f>
        <v>3.5</v>
      </c>
      <c r="H87" s="34" t="n">
        <f aca="false">F87*G87</f>
        <v>0.620911083333333</v>
      </c>
    </row>
    <row r="88" customFormat="false" ht="15" hidden="false" customHeight="false" outlineLevel="0" collapsed="false">
      <c r="A88" s="32" t="s">
        <v>92</v>
      </c>
      <c r="B88" s="32" t="s">
        <v>551</v>
      </c>
      <c r="C88" s="33" t="n">
        <f aca="false">ddb_reads/1000000</f>
        <v>0.0882723333333333</v>
      </c>
      <c r="D88" s="32" t="s">
        <v>343</v>
      </c>
      <c r="E88" s="11" t="n">
        <f aca="false">p_ddb_r_free*free_flag</f>
        <v>0</v>
      </c>
      <c r="F88" s="33" t="n">
        <f aca="false">MAX(0,C88-E88)</f>
        <v>0.0882723333333333</v>
      </c>
      <c r="G88" s="16" t="n">
        <f aca="false">p_ddb_r</f>
        <v>0.125</v>
      </c>
      <c r="H88" s="34" t="n">
        <f aca="false">F88*G88</f>
        <v>0.0110340416666667</v>
      </c>
    </row>
    <row r="89" customFormat="false" ht="15" hidden="false" customHeight="false" outlineLevel="0" collapsed="false">
      <c r="A89" s="32" t="s">
        <v>92</v>
      </c>
      <c r="B89" s="32" t="s">
        <v>552</v>
      </c>
      <c r="C89" s="33" t="n">
        <f aca="false">ddb_writes/1000000</f>
        <v>8E-005</v>
      </c>
      <c r="D89" s="32" t="s">
        <v>346</v>
      </c>
      <c r="E89" s="11" t="n">
        <f aca="false">p_ddb_w_free*free_flag</f>
        <v>0</v>
      </c>
      <c r="F89" s="33" t="n">
        <f aca="false">MAX(0,C89-E89)</f>
        <v>8E-005</v>
      </c>
      <c r="G89" s="16" t="n">
        <f aca="false">p_ddb_w</f>
        <v>0.625</v>
      </c>
      <c r="H89" s="34" t="n">
        <f aca="false">F89*G89</f>
        <v>5E-005</v>
      </c>
    </row>
    <row r="90" customFormat="false" ht="15" hidden="false" customHeight="false" outlineLevel="0" collapsed="false">
      <c r="A90" s="32" t="s">
        <v>92</v>
      </c>
      <c r="B90" s="32" t="s">
        <v>347</v>
      </c>
      <c r="C90" s="33" t="n">
        <f aca="false">0.001</f>
        <v>0.001</v>
      </c>
      <c r="D90" s="32" t="s">
        <v>325</v>
      </c>
      <c r="E90" s="11" t="n">
        <f aca="false">p_ddb_gb_free*free_flag</f>
        <v>0</v>
      </c>
      <c r="F90" s="33" t="n">
        <f aca="false">MAX(0,C90-E90)</f>
        <v>0.001</v>
      </c>
      <c r="G90" s="16" t="n">
        <f aca="false">p_ddb_gb</f>
        <v>0.25</v>
      </c>
      <c r="H90" s="34" t="n">
        <f aca="false">F90*G90</f>
        <v>0.00025</v>
      </c>
    </row>
    <row r="91" customFormat="false" ht="15" hidden="false" customHeight="false" outlineLevel="0" collapsed="false">
      <c r="A91" s="32" t="s">
        <v>93</v>
      </c>
      <c r="B91" s="32" t="s">
        <v>553</v>
      </c>
      <c r="C91" s="33" t="n">
        <f aca="false">cf_requests/1000000</f>
        <v>0.0045625</v>
      </c>
      <c r="D91" s="32" t="s">
        <v>334</v>
      </c>
      <c r="E91" s="11" t="n">
        <f aca="false">p_cf_req_free*free_flag</f>
        <v>0</v>
      </c>
      <c r="F91" s="33" t="n">
        <f aca="false">MAX(0,C91-E91)</f>
        <v>0.0045625</v>
      </c>
      <c r="G91" s="16" t="n">
        <f aca="false">p_cf_req</f>
        <v>1</v>
      </c>
      <c r="H91" s="34" t="n">
        <f aca="false">F91*G91</f>
        <v>0.0045625</v>
      </c>
    </row>
    <row r="92" customFormat="false" ht="15" hidden="false" customHeight="false" outlineLevel="0" collapsed="false">
      <c r="A92" s="32" t="s">
        <v>93</v>
      </c>
      <c r="B92" s="32" t="s">
        <v>554</v>
      </c>
      <c r="C92" s="33" t="n">
        <f aca="false">cf_gb</f>
        <v>0.0136335690816244</v>
      </c>
      <c r="D92" s="32" t="s">
        <v>351</v>
      </c>
      <c r="E92" s="11" t="n">
        <f aca="false">p_cf_gb_free*free_flag</f>
        <v>0</v>
      </c>
      <c r="F92" s="33" t="n">
        <f aca="false">MAX(0,C92-E92)</f>
        <v>0.0136335690816244</v>
      </c>
      <c r="G92" s="16" t="n">
        <f aca="false">p_cf_gb</f>
        <v>0.085</v>
      </c>
      <c r="H92" s="34" t="n">
        <f aca="false">F92*G92</f>
        <v>0.00115885337193807</v>
      </c>
    </row>
    <row r="93" customFormat="false" ht="15" hidden="false" customHeight="false" outlineLevel="0" collapsed="false">
      <c r="A93" s="32" t="s">
        <v>94</v>
      </c>
      <c r="B93" s="32" t="s">
        <v>555</v>
      </c>
      <c r="C93" s="33" t="n">
        <f aca="false">api_out_gb</f>
        <v>0.286473582188288</v>
      </c>
      <c r="D93" s="32" t="s">
        <v>351</v>
      </c>
      <c r="E93" s="11" t="n">
        <f aca="false">p_dto_free*free_flag</f>
        <v>0</v>
      </c>
      <c r="F93" s="33" t="n">
        <f aca="false">MAX(0,C93-E93)</f>
        <v>0.286473582188288</v>
      </c>
      <c r="G93" s="16" t="n">
        <f aca="false">p_dto</f>
        <v>0.09</v>
      </c>
      <c r="H93" s="34" t="n">
        <f aca="false">F93*G93</f>
        <v>0.025782622396946</v>
      </c>
    </row>
    <row r="94" customFormat="false" ht="15" hidden="false" customHeight="false" outlineLevel="0" collapsed="false">
      <c r="A94" s="32" t="s">
        <v>95</v>
      </c>
      <c r="B94" s="32" t="s">
        <v>354</v>
      </c>
      <c r="C94" s="33" t="n">
        <f aca="false">logs_gb</f>
        <v>0.0845983028411865</v>
      </c>
      <c r="D94" s="32" t="s">
        <v>351</v>
      </c>
      <c r="E94" s="11" t="n">
        <f aca="false">p_cw_in_free*free_flag</f>
        <v>0</v>
      </c>
      <c r="F94" s="33" t="n">
        <f aca="false">MAX(0,C94-E94)</f>
        <v>0.0845983028411865</v>
      </c>
      <c r="G94" s="16" t="n">
        <f aca="false">p_cw_in</f>
        <v>0.5</v>
      </c>
      <c r="H94" s="34" t="n">
        <f aca="false">F94*G94</f>
        <v>0.0422991514205933</v>
      </c>
    </row>
    <row r="95" customFormat="false" ht="15" hidden="false" customHeight="false" outlineLevel="0" collapsed="false">
      <c r="A95" s="32" t="s">
        <v>95</v>
      </c>
      <c r="B95" s="32" t="s">
        <v>546</v>
      </c>
      <c r="C95" s="33" t="n">
        <f aca="false">logs_store_gb</f>
        <v>1.01517963409424</v>
      </c>
      <c r="D95" s="32" t="s">
        <v>325</v>
      </c>
      <c r="E95" s="11" t="n">
        <f aca="false">p_cw_gb_free*free_flag</f>
        <v>0</v>
      </c>
      <c r="F95" s="33" t="n">
        <f aca="false">MAX(0,C95-E95)</f>
        <v>1.01517963409424</v>
      </c>
      <c r="G95" s="16" t="n">
        <f aca="false">p_cw_gb</f>
        <v>0.03</v>
      </c>
      <c r="H95" s="34" t="n">
        <f aca="false">F95*G95</f>
        <v>0.0304553890228272</v>
      </c>
    </row>
    <row r="96" customFormat="false" ht="15" hidden="false" customHeight="false" outlineLevel="0" collapsed="false">
      <c r="A96" s="32" t="s">
        <v>96</v>
      </c>
      <c r="B96" s="32" t="s">
        <v>556</v>
      </c>
      <c r="C96" s="33" t="n">
        <f aca="false">weekly_reports</f>
        <v>4.33333333333333</v>
      </c>
      <c r="D96" s="32" t="s">
        <v>477</v>
      </c>
      <c r="E96" s="11" t="n">
        <f aca="false">p_eb_free*free_flag</f>
        <v>0</v>
      </c>
      <c r="F96" s="33" t="n">
        <f aca="false">MAX(0,C96-E96)</f>
        <v>4.33333333333333</v>
      </c>
      <c r="G96" s="16" t="n">
        <f aca="false">p_eb</f>
        <v>0</v>
      </c>
      <c r="H96" s="34" t="n">
        <f aca="false">F96*G96</f>
        <v>0</v>
      </c>
    </row>
    <row r="97" customFormat="false" ht="15" hidden="false" customHeight="false" outlineLevel="0" collapsed="false">
      <c r="A97" s="32" t="s">
        <v>97</v>
      </c>
      <c r="B97" s="32" t="s">
        <v>359</v>
      </c>
      <c r="C97" s="33" t="n">
        <f aca="false">0</f>
        <v>0</v>
      </c>
      <c r="D97" s="32" t="s">
        <v>360</v>
      </c>
      <c r="E97" s="11" t="n">
        <f aca="false">p_free_free*free_flag</f>
        <v>0</v>
      </c>
      <c r="F97" s="33" t="n">
        <f aca="false">MAX(0,C97-E97)</f>
        <v>0</v>
      </c>
      <c r="G97" s="16" t="n">
        <f aca="false">p_free</f>
        <v>0</v>
      </c>
      <c r="H97" s="34" t="n">
        <f aca="false">F97*G97</f>
        <v>0</v>
      </c>
    </row>
    <row r="98" customFormat="false" ht="15" hidden="false" customHeight="false" outlineLevel="0" collapsed="false">
      <c r="A98" s="19" t="s">
        <v>557</v>
      </c>
      <c r="B98" s="2"/>
      <c r="C98" s="2"/>
      <c r="D98" s="2"/>
      <c r="E98" s="2"/>
      <c r="F98" s="2"/>
      <c r="G98" s="2"/>
      <c r="H98" s="20" t="n">
        <f aca="false">SUM(H72:H97)</f>
        <v>3.47170193690538</v>
      </c>
    </row>
    <row r="99" customFormat="false" ht="15" hidden="false" customHeight="false" outlineLevel="0" collapsed="false">
      <c r="A99" s="3" t="s">
        <v>558</v>
      </c>
      <c r="B99" s="2"/>
      <c r="C99" s="2"/>
      <c r="D99" s="2"/>
      <c r="E99" s="2"/>
      <c r="F99" s="2"/>
      <c r="G99" s="2"/>
      <c r="H9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559</v>
      </c>
      <c r="B1" s="2"/>
      <c r="C1" s="2"/>
      <c r="D1" s="2"/>
      <c r="E1" s="2"/>
    </row>
    <row r="2" customFormat="false" ht="15" hidden="false" customHeight="false" outlineLevel="0" collapsed="false">
      <c r="A2" s="3" t="s">
        <v>560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21" t="s">
        <v>307</v>
      </c>
      <c r="B4" s="21" t="s">
        <v>141</v>
      </c>
      <c r="C4" s="21" t="s">
        <v>142</v>
      </c>
      <c r="D4" s="21" t="s">
        <v>143</v>
      </c>
      <c r="E4" s="21" t="s">
        <v>144</v>
      </c>
    </row>
    <row r="5" customFormat="false" ht="15" hidden="false" customHeight="false" outlineLevel="0" collapsed="false">
      <c r="A5" s="2"/>
      <c r="B5" s="2"/>
      <c r="C5" s="2"/>
      <c r="D5" s="2"/>
      <c r="E5" s="2"/>
    </row>
    <row r="6" customFormat="false" ht="15" hidden="false" customHeight="false" outlineLevel="0" collapsed="false">
      <c r="A6" s="4" t="s">
        <v>561</v>
      </c>
      <c r="B6" s="5"/>
      <c r="C6" s="5"/>
      <c r="D6" s="5"/>
      <c r="E6" s="5"/>
    </row>
    <row r="7" customFormat="false" ht="15" hidden="false" customHeight="false" outlineLevel="0" collapsed="false">
      <c r="A7" s="9" t="s">
        <v>562</v>
      </c>
      <c r="B7" s="3" t="s">
        <v>563</v>
      </c>
      <c r="C7" s="11" t="n">
        <f aca="false">wire_month_mb</f>
        <v>217.3356</v>
      </c>
      <c r="D7" s="9" t="s">
        <v>410</v>
      </c>
      <c r="E7" s="3" t="s">
        <v>564</v>
      </c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4" t="s">
        <v>565</v>
      </c>
      <c r="B9" s="5"/>
      <c r="C9" s="5"/>
      <c r="D9" s="5"/>
      <c r="E9" s="5"/>
    </row>
    <row r="10" customFormat="false" ht="15" hidden="false" customHeight="false" outlineLevel="0" collapsed="false">
      <c r="A10" s="9" t="s">
        <v>566</v>
      </c>
      <c r="B10" s="3" t="s">
        <v>567</v>
      </c>
      <c r="C10" s="35" t="n">
        <v>5</v>
      </c>
      <c r="D10" s="9" t="s">
        <v>568</v>
      </c>
      <c r="E10" s="3" t="s">
        <v>569</v>
      </c>
    </row>
    <row r="11" customFormat="false" ht="15" hidden="false" customHeight="false" outlineLevel="0" collapsed="false">
      <c r="A11" s="9" t="s">
        <v>570</v>
      </c>
      <c r="B11" s="3" t="s">
        <v>571</v>
      </c>
      <c r="C11" s="36" t="n">
        <v>7</v>
      </c>
      <c r="D11" s="9" t="s">
        <v>267</v>
      </c>
      <c r="E11" s="3" t="s">
        <v>572</v>
      </c>
    </row>
    <row r="12" customFormat="false" ht="15" hidden="false" customHeight="false" outlineLevel="0" collapsed="false">
      <c r="A12" s="9" t="s">
        <v>573</v>
      </c>
      <c r="B12" s="3" t="s">
        <v>574</v>
      </c>
      <c r="C12" s="37" t="n">
        <v>0.1</v>
      </c>
      <c r="D12" s="9" t="s">
        <v>575</v>
      </c>
      <c r="E12" s="3" t="s">
        <v>576</v>
      </c>
    </row>
    <row r="13" customFormat="false" ht="15" hidden="false" customHeight="false" outlineLevel="0" collapsed="false">
      <c r="A13" s="9" t="s">
        <v>577</v>
      </c>
      <c r="B13" s="3" t="s">
        <v>578</v>
      </c>
      <c r="C13" s="36" t="n">
        <v>5</v>
      </c>
      <c r="D13" s="9" t="s">
        <v>410</v>
      </c>
      <c r="E13" s="3" t="s">
        <v>277</v>
      </c>
    </row>
    <row r="14" customFormat="false" ht="15" hidden="false" customHeight="false" outlineLevel="0" collapsed="false">
      <c r="A14" s="9" t="s">
        <v>579</v>
      </c>
      <c r="B14" s="3" t="s">
        <v>580</v>
      </c>
      <c r="C14" s="36" t="n">
        <v>10</v>
      </c>
      <c r="D14" s="9" t="s">
        <v>410</v>
      </c>
      <c r="E14" s="3" t="s">
        <v>581</v>
      </c>
    </row>
    <row r="15" customFormat="false" ht="15" hidden="false" customHeight="false" outlineLevel="0" collapsed="false">
      <c r="A15" s="9" t="s">
        <v>582</v>
      </c>
      <c r="B15" s="3" t="s">
        <v>583</v>
      </c>
      <c r="C15" s="36" t="n">
        <v>2</v>
      </c>
      <c r="D15" s="9" t="s">
        <v>584</v>
      </c>
      <c r="E15" s="3" t="s">
        <v>585</v>
      </c>
    </row>
    <row r="16" customFormat="false" ht="15" hidden="false" customHeight="false" outlineLevel="0" collapsed="false">
      <c r="A16" s="9" t="s">
        <v>586</v>
      </c>
      <c r="B16" s="3" t="s">
        <v>587</v>
      </c>
      <c r="C16" s="36" t="n">
        <v>3</v>
      </c>
      <c r="D16" s="9" t="s">
        <v>248</v>
      </c>
      <c r="E16" s="3" t="s">
        <v>588</v>
      </c>
    </row>
    <row r="17" customFormat="false" ht="15" hidden="false" customHeight="false" outlineLevel="0" collapsed="false">
      <c r="A17" s="9" t="s">
        <v>589</v>
      </c>
      <c r="B17" s="3" t="s">
        <v>590</v>
      </c>
      <c r="C17" s="35" t="n">
        <v>0</v>
      </c>
      <c r="D17" s="9" t="s">
        <v>410</v>
      </c>
      <c r="E17" s="3" t="s">
        <v>591</v>
      </c>
    </row>
    <row r="18" customFormat="false" ht="15" hidden="false" customHeight="false" outlineLevel="0" collapsed="false">
      <c r="A18" s="9" t="s">
        <v>592</v>
      </c>
      <c r="B18" s="3" t="s">
        <v>593</v>
      </c>
      <c r="C18" s="35" t="n">
        <v>0</v>
      </c>
      <c r="D18" s="9" t="s">
        <v>267</v>
      </c>
      <c r="E18" s="3" t="s">
        <v>594</v>
      </c>
    </row>
    <row r="19" customFormat="false" ht="15" hidden="false" customHeight="false" outlineLevel="0" collapsed="false">
      <c r="A19" s="9" t="s">
        <v>595</v>
      </c>
      <c r="B19" s="3" t="s">
        <v>596</v>
      </c>
      <c r="C19" s="38" t="n">
        <v>0.3</v>
      </c>
      <c r="D19" s="9" t="s">
        <v>597</v>
      </c>
      <c r="E19" s="3" t="s">
        <v>598</v>
      </c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4" t="s">
        <v>599</v>
      </c>
      <c r="B21" s="5"/>
      <c r="C21" s="5"/>
      <c r="D21" s="5"/>
      <c r="E21" s="5"/>
    </row>
    <row r="22" customFormat="false" ht="15" hidden="false" customHeight="false" outlineLevel="0" collapsed="false">
      <c r="A22" s="9" t="s">
        <v>600</v>
      </c>
      <c r="B22" s="3" t="s">
        <v>601</v>
      </c>
      <c r="C22" s="29" t="n">
        <f aca="false">dp_reconnects*dp_reconnect_kb*days_month/1000</f>
        <v>1.06458333333333</v>
      </c>
      <c r="D22" s="9" t="s">
        <v>410</v>
      </c>
      <c r="E22" s="3" t="s">
        <v>602</v>
      </c>
    </row>
    <row r="23" customFormat="false" ht="15" hidden="false" customHeight="false" outlineLevel="0" collapsed="false">
      <c r="A23" s="9" t="s">
        <v>603</v>
      </c>
      <c r="B23" s="3" t="s">
        <v>604</v>
      </c>
      <c r="C23" s="29" t="n">
        <f aca="false">dp_gateway_mb*dp_retrans_pct</f>
        <v>21.73356</v>
      </c>
      <c r="D23" s="9" t="s">
        <v>410</v>
      </c>
      <c r="E23" s="3" t="s">
        <v>605</v>
      </c>
    </row>
    <row r="24" customFormat="false" ht="15" hidden="false" customHeight="false" outlineLevel="0" collapsed="false">
      <c r="A24" s="9" t="s">
        <v>606</v>
      </c>
      <c r="B24" s="3" t="s">
        <v>607</v>
      </c>
      <c r="C24" s="29" t="n">
        <f aca="false">dp_deploys*dp_deploy_mb+dp_os_mb</f>
        <v>6</v>
      </c>
      <c r="D24" s="9" t="s">
        <v>410</v>
      </c>
      <c r="E24" s="3" t="s">
        <v>608</v>
      </c>
    </row>
    <row r="25" customFormat="false" ht="15" hidden="false" customHeight="false" outlineLevel="0" collapsed="false">
      <c r="A25" s="9" t="s">
        <v>609</v>
      </c>
      <c r="B25" s="3" t="s">
        <v>610</v>
      </c>
      <c r="C25" s="29" t="n">
        <f aca="false">dp_reconnects*days_month*MAX(0,dp_session_min_kb-dp_reconnect_kb)/1000</f>
        <v>0</v>
      </c>
      <c r="D25" s="9" t="s">
        <v>410</v>
      </c>
      <c r="E25" s="3" t="s">
        <v>611</v>
      </c>
    </row>
    <row r="26" customFormat="false" ht="15" hidden="false" customHeight="false" outlineLevel="0" collapsed="false">
      <c r="A26" s="9" t="s">
        <v>612</v>
      </c>
      <c r="B26" s="3" t="s">
        <v>613</v>
      </c>
      <c r="C26" s="29" t="n">
        <f aca="false">dp_gateway_mb+dp_reconnect_mb+dp_retrans_mb+dp_dns_ntp_mb+dp_ssh_mb+dp_updates_mb+dp_rounding_mb</f>
        <v>261.133743333333</v>
      </c>
      <c r="D26" s="9" t="s">
        <v>410</v>
      </c>
      <c r="E26" s="3"/>
    </row>
    <row r="27" customFormat="false" ht="15" hidden="false" customHeight="false" outlineLevel="0" collapsed="false">
      <c r="A27" s="19" t="s">
        <v>614</v>
      </c>
      <c r="B27" s="3" t="s">
        <v>615</v>
      </c>
      <c r="C27" s="39" t="n">
        <f aca="false">dp_subtotal_mb*(1+dp_margin)</f>
        <v>339.473866333333</v>
      </c>
      <c r="D27" s="9" t="s">
        <v>410</v>
      </c>
      <c r="E27" s="3" t="s">
        <v>616</v>
      </c>
    </row>
    <row r="28" customFormat="false" ht="15" hidden="false" customHeight="false" outlineLevel="0" collapsed="false">
      <c r="A28" s="9" t="s">
        <v>617</v>
      </c>
      <c r="B28" s="3" t="s">
        <v>618</v>
      </c>
      <c r="C28" s="29" t="n">
        <f aca="false">dp_required_mb/days_month</f>
        <v>11.1607846465753</v>
      </c>
      <c r="D28" s="9" t="s">
        <v>404</v>
      </c>
      <c r="E28" s="3"/>
    </row>
    <row r="29" customFormat="false" ht="15" hidden="false" customHeight="false" outlineLevel="0" collapsed="false">
      <c r="A29" s="9" t="s">
        <v>619</v>
      </c>
      <c r="B29" s="3" t="s">
        <v>620</v>
      </c>
      <c r="C29" s="29" t="n">
        <f aca="false">dp_required_mb*sites/1000</f>
        <v>0.339473866333333</v>
      </c>
      <c r="D29" s="9" t="s">
        <v>433</v>
      </c>
      <c r="E29" s="3" t="s">
        <v>621</v>
      </c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4" t="s">
        <v>622</v>
      </c>
      <c r="B31" s="5"/>
      <c r="C31" s="5"/>
      <c r="D31" s="5"/>
      <c r="E31" s="5"/>
    </row>
    <row r="32" customFormat="false" ht="15" hidden="false" customHeight="false" outlineLevel="0" collapsed="false">
      <c r="A32" s="9" t="s">
        <v>623</v>
      </c>
      <c r="B32" s="3" t="s">
        <v>624</v>
      </c>
      <c r="C32" s="36" t="s">
        <v>625</v>
      </c>
      <c r="D32" s="9" t="s">
        <v>156</v>
      </c>
      <c r="E32" s="3" t="s">
        <v>626</v>
      </c>
    </row>
    <row r="33" customFormat="false" ht="15" hidden="false" customHeight="false" outlineLevel="0" collapsed="false">
      <c r="A33" s="2"/>
      <c r="B33" s="2"/>
      <c r="C33" s="2"/>
      <c r="D33" s="2"/>
      <c r="E33" s="2"/>
    </row>
    <row r="34" customFormat="false" ht="15" hidden="false" customHeight="false" outlineLevel="0" collapsed="false">
      <c r="A34" s="17" t="s">
        <v>627</v>
      </c>
      <c r="B34" s="17" t="s">
        <v>628</v>
      </c>
      <c r="C34" s="17" t="s">
        <v>629</v>
      </c>
      <c r="D34" s="17" t="s">
        <v>630</v>
      </c>
      <c r="E34" s="17" t="s">
        <v>631</v>
      </c>
    </row>
    <row r="35" customFormat="false" ht="15" hidden="false" customHeight="false" outlineLevel="0" collapsed="false">
      <c r="A35" s="22" t="s">
        <v>632</v>
      </c>
      <c r="B35" s="40" t="n">
        <v>250</v>
      </c>
      <c r="C35" s="35"/>
      <c r="D35" s="32" t="str">
        <f aca="false">IF(B35&gt;=dp_required_mb,"Yes","No")</f>
        <v>No</v>
      </c>
      <c r="E35" s="41" t="n">
        <f aca="false">IFERROR(B35/dp_required_mb-1,0)</f>
        <v>-0.263566286559089</v>
      </c>
    </row>
    <row r="36" customFormat="false" ht="15" hidden="false" customHeight="false" outlineLevel="0" collapsed="false">
      <c r="A36" s="22" t="s">
        <v>633</v>
      </c>
      <c r="B36" s="40" t="n">
        <v>500</v>
      </c>
      <c r="C36" s="35"/>
      <c r="D36" s="32" t="str">
        <f aca="false">IF(B36&gt;=dp_required_mb,"Yes","No")</f>
        <v>Yes</v>
      </c>
      <c r="E36" s="41" t="n">
        <f aca="false">IFERROR(B36/dp_required_mb-1,0)</f>
        <v>0.472867426881821</v>
      </c>
    </row>
    <row r="37" customFormat="false" ht="15" hidden="false" customHeight="false" outlineLevel="0" collapsed="false">
      <c r="A37" s="22" t="s">
        <v>634</v>
      </c>
      <c r="B37" s="40" t="n">
        <v>1000</v>
      </c>
      <c r="C37" s="35"/>
      <c r="D37" s="32" t="str">
        <f aca="false">IF(B37&gt;=dp_required_mb,"Yes","No")</f>
        <v>Yes</v>
      </c>
      <c r="E37" s="41" t="n">
        <f aca="false">IFERROR(B37/dp_required_mb-1,0)</f>
        <v>1.94573485376364</v>
      </c>
    </row>
    <row r="38" customFormat="false" ht="15" hidden="false" customHeight="false" outlineLevel="0" collapsed="false">
      <c r="A38" s="22" t="s">
        <v>635</v>
      </c>
      <c r="B38" s="40" t="n">
        <v>2000</v>
      </c>
      <c r="C38" s="35"/>
      <c r="D38" s="32" t="str">
        <f aca="false">IF(B38&gt;=dp_required_mb,"Yes","No")</f>
        <v>Yes</v>
      </c>
      <c r="E38" s="41" t="n">
        <f aca="false">IFERROR(B38/dp_required_mb-1,0)</f>
        <v>4.89146970752729</v>
      </c>
    </row>
    <row r="39" customFormat="false" ht="15" hidden="false" customHeight="false" outlineLevel="0" collapsed="false">
      <c r="A39" s="22" t="s">
        <v>636</v>
      </c>
      <c r="B39" s="40" t="n">
        <v>3000</v>
      </c>
      <c r="C39" s="35"/>
      <c r="D39" s="32" t="str">
        <f aca="false">IF(B39&gt;=dp_required_mb,"Yes","No")</f>
        <v>Yes</v>
      </c>
      <c r="E39" s="41" t="n">
        <f aca="false">IFERROR(B39/dp_required_mb-1,0)</f>
        <v>7.83720456129093</v>
      </c>
    </row>
    <row r="40" customFormat="false" ht="15" hidden="false" customHeight="false" outlineLevel="0" collapsed="false">
      <c r="A40" s="22" t="s">
        <v>637</v>
      </c>
      <c r="B40" s="40" t="n">
        <v>5000</v>
      </c>
      <c r="C40" s="35"/>
      <c r="D40" s="32" t="str">
        <f aca="false">IF(B40&gt;=dp_required_mb,"Yes","No")</f>
        <v>Yes</v>
      </c>
      <c r="E40" s="41" t="n">
        <f aca="false">IFERROR(B40/dp_required_mb-1,0)</f>
        <v>13.7286742688182</v>
      </c>
    </row>
    <row r="41" customFormat="false" ht="15" hidden="false" customHeight="false" outlineLevel="0" collapsed="false">
      <c r="A41" s="3" t="s">
        <v>638</v>
      </c>
      <c r="B41" s="2"/>
      <c r="C41" s="2"/>
      <c r="D41" s="2"/>
      <c r="E41" s="2"/>
    </row>
    <row r="42" customFormat="false" ht="15" hidden="false" customHeight="false" outlineLevel="0" collapsed="false">
      <c r="A42" s="2"/>
      <c r="B42" s="2"/>
      <c r="C42" s="2"/>
      <c r="D42" s="2"/>
      <c r="E42" s="2"/>
    </row>
    <row r="43" customFormat="false" ht="15" hidden="false" customHeight="false" outlineLevel="0" collapsed="false">
      <c r="A43" s="19" t="s">
        <v>639</v>
      </c>
      <c r="B43" s="3" t="s">
        <v>640</v>
      </c>
      <c r="C43" s="42" t="str">
        <f aca="false">IF(dp_required_mb&lt;=MAX('Data Plan'!$B$35:$B$40),INDEX('Data Plan'!$A$35:$A$40,COUNTIF('Data Plan'!$B$35:$B$40,"&lt;"&amp;dp_required_mb)+1),"Larger than the listed plans")</f>
        <v>500 MB</v>
      </c>
      <c r="D43" s="9"/>
      <c r="E43" s="3" t="s">
        <v>641</v>
      </c>
    </row>
    <row r="44" customFormat="false" ht="15" hidden="false" customHeight="false" outlineLevel="0" collapsed="false">
      <c r="A44" s="9" t="s">
        <v>642</v>
      </c>
      <c r="B44" s="3" t="s">
        <v>643</v>
      </c>
      <c r="C44" s="23" t="n">
        <f aca="false">IF(dp_required_mb&lt;=MAX('Data Plan'!$B$35:$B$40),INDEX('Data Plan'!$B$35:$B$40,COUNTIF('Data Plan'!$B$35:$B$40,"&lt;"&amp;dp_required_mb)+1),0)</f>
        <v>500</v>
      </c>
      <c r="D44" s="9" t="s">
        <v>410</v>
      </c>
      <c r="E44" s="3"/>
    </row>
    <row r="45" customFormat="false" ht="15" hidden="false" customHeight="false" outlineLevel="0" collapsed="false">
      <c r="A45" s="9" t="s">
        <v>644</v>
      </c>
      <c r="B45" s="3" t="s">
        <v>645</v>
      </c>
      <c r="C45" s="29" t="n">
        <f aca="false">IF(dp_required_mb&lt;=MAX('Data Plan'!$B$35:$B$40),INDEX('Data Plan'!$C$35:$C$40,COUNTIF('Data Plan'!$B$35:$B$40,"&lt;"&amp;dp_required_mb)+1),0)</f>
        <v>0</v>
      </c>
      <c r="D45" s="9" t="s">
        <v>584</v>
      </c>
      <c r="E45" s="3" t="s">
        <v>646</v>
      </c>
    </row>
    <row r="46" customFormat="false" ht="15" hidden="false" customHeight="false" outlineLevel="0" collapsed="false">
      <c r="A46" s="9" t="s">
        <v>647</v>
      </c>
      <c r="B46" s="3" t="s">
        <v>648</v>
      </c>
      <c r="C46" s="29" t="n">
        <f aca="false">dp_plan_price*sites</f>
        <v>0</v>
      </c>
      <c r="D46" s="9" t="s">
        <v>584</v>
      </c>
      <c r="E46" s="3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2026-10-03T01:18:42Z</dcterms:created>
  <dc:creator>openpyxl</dc:creator>
  <dc:description/>
  <dc:language>en-US</dc:language>
  <cp:lastModifiedBy/>
  <dcterms:modified xsi:type="dcterms:W3CDTF">2026-10-03T01:18:42Z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